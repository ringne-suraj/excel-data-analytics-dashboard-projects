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a85bae39582545b7/Documents/EXCEL PRJ. FOR DA/"/>
    </mc:Choice>
  </mc:AlternateContent>
  <xr:revisionPtr revIDLastSave="1411" documentId="8_{478A90CF-9728-451E-A427-89914A5BDB2F}" xr6:coauthVersionLast="47" xr6:coauthVersionMax="47" xr10:uidLastSave="{8DD2DF04-6AF4-49D7-B1CD-74B801E75A67}"/>
  <bookViews>
    <workbookView xWindow="-108" yWindow="-108" windowWidth="23256" windowHeight="12456" activeTab="1" xr2:uid="{DBD4FA64-0C27-48C6-8092-5315B9FF63AE}"/>
  </bookViews>
  <sheets>
    <sheet name="Sheet1" sheetId="2" r:id="rId1"/>
    <sheet name="Dashboard" sheetId="3" r:id="rId2"/>
    <sheet name="E-commerce Customer Behavior - " sheetId="1" r:id="rId3"/>
  </sheets>
  <definedNames>
    <definedName name="Slicer_Age_Group">#N/A</definedName>
    <definedName name="Slicer_Discount_Applied">#N/A</definedName>
    <definedName name="Slicer_Gender">#N/A</definedName>
    <definedName name="Slicer_Recency_Group">#N/A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0" i="3" l="1"/>
  <c r="C59" i="3"/>
  <c r="C58" i="3"/>
  <c r="C57" i="3"/>
  <c r="N3" i="1" a="1"/>
  <c r="N3" i="1" s="1"/>
  <c r="N2" i="1" a="1"/>
  <c r="N2"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c r="N114" i="1" a="1"/>
  <c r="N114" i="1"/>
  <c r="N115" i="1" a="1"/>
  <c r="N115" i="1"/>
  <c r="N116" i="1" a="1"/>
  <c r="N116" i="1"/>
  <c r="N117" i="1" a="1"/>
  <c r="N117" i="1"/>
  <c r="N118" i="1" a="1"/>
  <c r="N118" i="1"/>
  <c r="N119" i="1" a="1"/>
  <c r="N119" i="1"/>
  <c r="N120" i="1" a="1"/>
  <c r="N120" i="1"/>
  <c r="N121" i="1" a="1"/>
  <c r="N121" i="1"/>
  <c r="N122" i="1" a="1"/>
  <c r="N122" i="1"/>
  <c r="N123" i="1" a="1"/>
  <c r="N123" i="1"/>
  <c r="N124" i="1" a="1"/>
  <c r="N124" i="1"/>
  <c r="N125" i="1" a="1"/>
  <c r="N125" i="1"/>
  <c r="N126" i="1" a="1"/>
  <c r="N126" i="1"/>
  <c r="N127" i="1" a="1"/>
  <c r="N127" i="1"/>
  <c r="N128" i="1" a="1"/>
  <c r="N128" i="1"/>
  <c r="N129" i="1" a="1"/>
  <c r="N129" i="1"/>
  <c r="N130" i="1" a="1"/>
  <c r="N130" i="1"/>
  <c r="N131" i="1" a="1"/>
  <c r="N131" i="1"/>
  <c r="N132" i="1" a="1"/>
  <c r="N132" i="1"/>
  <c r="N133" i="1" a="1"/>
  <c r="N133" i="1"/>
  <c r="N134" i="1" a="1"/>
  <c r="N134" i="1"/>
  <c r="N135" i="1" a="1"/>
  <c r="N135" i="1"/>
  <c r="N136" i="1" a="1"/>
  <c r="N136" i="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s="1"/>
  <c r="N255" i="1" a="1"/>
  <c r="N255" i="1" s="1"/>
  <c r="N256" i="1" a="1"/>
  <c r="N256" i="1" s="1"/>
  <c r="N257" i="1" a="1"/>
  <c r="N257" i="1" s="1"/>
  <c r="N258" i="1" a="1"/>
  <c r="N258" i="1" s="1"/>
  <c r="N259" i="1" a="1"/>
  <c r="N259" i="1" s="1"/>
  <c r="N260" i="1" a="1"/>
  <c r="N260" i="1" s="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s="1"/>
  <c r="N296" i="1" a="1"/>
  <c r="N296" i="1" s="1"/>
  <c r="N297" i="1" a="1"/>
  <c r="N297" i="1" s="1"/>
  <c r="N298" i="1" a="1"/>
  <c r="N298" i="1" s="1"/>
  <c r="N299" i="1" a="1"/>
  <c r="N299" i="1" s="1"/>
  <c r="N300" i="1" a="1"/>
  <c r="N300" i="1" s="1"/>
  <c r="N301" i="1" a="1"/>
  <c r="N301" i="1" s="1"/>
  <c r="N302" i="1" a="1"/>
  <c r="N302" i="1" s="1"/>
  <c r="N303" i="1" a="1"/>
  <c r="N303" i="1" s="1"/>
  <c r="N304" i="1" a="1"/>
  <c r="N304" i="1" s="1"/>
  <c r="N305" i="1" a="1"/>
  <c r="N305" i="1" s="1"/>
  <c r="N306" i="1" a="1"/>
  <c r="N306" i="1" s="1"/>
  <c r="N307" i="1" a="1"/>
  <c r="N307" i="1" s="1"/>
  <c r="N308" i="1" a="1"/>
  <c r="N308" i="1" s="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s="1"/>
  <c r="N328" i="1" a="1"/>
  <c r="N328" i="1" s="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s="1"/>
  <c r="N346" i="1" a="1"/>
  <c r="N346" i="1" s="1"/>
  <c r="N347" i="1" a="1"/>
  <c r="N347" i="1" s="1"/>
  <c r="N348" i="1" a="1"/>
  <c r="N348" i="1" s="1"/>
  <c r="N349" i="1" a="1"/>
  <c r="N349" i="1" s="1"/>
  <c r="N350" i="1" a="1"/>
  <c r="N350" i="1" s="1"/>
  <c r="N351" i="1" a="1"/>
  <c r="N351" i="1" s="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L2" i="1" a="1"/>
  <c r="L2" i="1" s="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c r="L73" i="1" a="1"/>
  <c r="L73" i="1"/>
  <c r="L74" i="1" a="1"/>
  <c r="L74" i="1"/>
  <c r="L75" i="1" a="1"/>
  <c r="L75" i="1"/>
  <c r="L76" i="1" a="1"/>
  <c r="L76" i="1"/>
  <c r="L77" i="1" a="1"/>
  <c r="L77" i="1"/>
  <c r="L78" i="1" a="1"/>
  <c r="L78" i="1"/>
  <c r="L79" i="1" a="1"/>
  <c r="L79" i="1"/>
  <c r="L80" i="1" a="1"/>
  <c r="L80" i="1"/>
  <c r="L81" i="1" a="1"/>
  <c r="L81" i="1"/>
  <c r="L82" i="1" a="1"/>
  <c r="L82" i="1"/>
  <c r="L83" i="1" a="1"/>
  <c r="L83" i="1"/>
  <c r="L84" i="1" a="1"/>
  <c r="L84" i="1"/>
  <c r="L85" i="1" a="1"/>
  <c r="L85" i="1"/>
  <c r="L86" i="1" a="1"/>
  <c r="L86" i="1"/>
  <c r="L87" i="1" a="1"/>
  <c r="L87" i="1"/>
  <c r="L88" i="1" a="1"/>
  <c r="L88" i="1"/>
  <c r="L89" i="1" a="1"/>
  <c r="L89" i="1"/>
  <c r="L90" i="1" a="1"/>
  <c r="L90" i="1"/>
  <c r="L91" i="1" a="1"/>
  <c r="L91" i="1"/>
  <c r="L92" i="1" a="1"/>
  <c r="L92" i="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c r="L155" i="1" a="1"/>
  <c r="L155" i="1"/>
  <c r="L156" i="1" a="1"/>
  <c r="L156" i="1"/>
  <c r="L157" i="1" a="1"/>
  <c r="L157" i="1"/>
  <c r="L158" i="1" a="1"/>
  <c r="L158" i="1"/>
  <c r="L159" i="1" a="1"/>
  <c r="L159" i="1"/>
  <c r="L160" i="1" a="1"/>
  <c r="L160" i="1"/>
  <c r="L161" i="1" a="1"/>
  <c r="L161" i="1"/>
  <c r="L162" i="1" a="1"/>
  <c r="L162" i="1"/>
  <c r="L163" i="1" a="1"/>
  <c r="L163" i="1"/>
  <c r="L164" i="1" a="1"/>
  <c r="L164" i="1"/>
  <c r="L165" i="1" a="1"/>
  <c r="L165" i="1"/>
  <c r="L166" i="1" a="1"/>
  <c r="L166" i="1"/>
  <c r="L167" i="1" a="1"/>
  <c r="L167" i="1"/>
  <c r="L168" i="1" a="1"/>
  <c r="L168" i="1"/>
  <c r="L169" i="1" a="1"/>
  <c r="L169" i="1"/>
  <c r="L170" i="1" a="1"/>
  <c r="L170" i="1"/>
  <c r="L171" i="1" a="1"/>
  <c r="L171" i="1"/>
  <c r="L172" i="1" a="1"/>
  <c r="L172" i="1"/>
  <c r="L173" i="1" a="1"/>
  <c r="L173" i="1"/>
  <c r="L174" i="1" a="1"/>
  <c r="L174" i="1"/>
  <c r="L175" i="1" a="1"/>
  <c r="L175" i="1"/>
  <c r="L176" i="1" a="1"/>
  <c r="L176" i="1"/>
  <c r="L177" i="1" a="1"/>
  <c r="L177" i="1"/>
  <c r="L178" i="1" a="1"/>
  <c r="L178" i="1"/>
  <c r="L179" i="1" a="1"/>
  <c r="L179" i="1"/>
  <c r="L180" i="1" a="1"/>
  <c r="L180" i="1"/>
  <c r="L181" i="1" a="1"/>
  <c r="L181" i="1"/>
  <c r="L182" i="1" a="1"/>
  <c r="L182" i="1"/>
  <c r="L183" i="1" a="1"/>
  <c r="L183" i="1"/>
  <c r="L184" i="1" a="1"/>
  <c r="L184" i="1"/>
  <c r="L185" i="1" a="1"/>
  <c r="L185" i="1"/>
  <c r="L186" i="1" a="1"/>
  <c r="L186" i="1"/>
  <c r="L187" i="1" a="1"/>
  <c r="L187" i="1"/>
  <c r="L188" i="1" a="1"/>
  <c r="L188" i="1"/>
  <c r="L189" i="1" a="1"/>
  <c r="L189" i="1"/>
  <c r="L190" i="1" a="1"/>
  <c r="L190" i="1"/>
  <c r="L191" i="1" a="1"/>
  <c r="L191" i="1"/>
  <c r="L192" i="1" a="1"/>
  <c r="L192" i="1"/>
  <c r="L193" i="1" a="1"/>
  <c r="L193" i="1"/>
  <c r="L194" i="1" a="1"/>
  <c r="L194" i="1"/>
  <c r="L195" i="1" a="1"/>
  <c r="L195" i="1"/>
  <c r="L196" i="1" a="1"/>
  <c r="L196" i="1"/>
  <c r="L197" i="1" a="1"/>
  <c r="L197" i="1"/>
  <c r="L198" i="1" a="1"/>
  <c r="L198" i="1"/>
  <c r="L199" i="1" a="1"/>
  <c r="L199" i="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c r="L237" i="1" a="1"/>
  <c r="L237" i="1"/>
  <c r="L238" i="1" a="1"/>
  <c r="L238" i="1"/>
  <c r="L239" i="1" a="1"/>
  <c r="L239" i="1"/>
  <c r="L240" i="1" a="1"/>
  <c r="L240" i="1"/>
  <c r="L241" i="1" a="1"/>
  <c r="L241" i="1"/>
  <c r="L242" i="1" a="1"/>
  <c r="L242" i="1"/>
  <c r="L243" i="1" a="1"/>
  <c r="L243" i="1"/>
  <c r="L244" i="1" a="1"/>
  <c r="L244" i="1"/>
  <c r="L245" i="1" a="1"/>
  <c r="L245" i="1"/>
  <c r="L246" i="1" a="1"/>
  <c r="L246" i="1"/>
  <c r="L247" i="1" a="1"/>
  <c r="L247" i="1"/>
  <c r="L248" i="1" a="1"/>
  <c r="L248" i="1"/>
  <c r="L249" i="1" a="1"/>
  <c r="L249" i="1"/>
  <c r="L250" i="1" a="1"/>
  <c r="L250" i="1"/>
  <c r="L251" i="1" a="1"/>
  <c r="L251" i="1"/>
  <c r="L252" i="1" a="1"/>
  <c r="L252" i="1" s="1"/>
  <c r="L253" i="1" a="1"/>
  <c r="L253" i="1"/>
  <c r="L254" i="1" a="1"/>
  <c r="L254" i="1"/>
  <c r="L255" i="1" a="1"/>
  <c r="L255" i="1"/>
  <c r="L256" i="1" a="1"/>
  <c r="L256" i="1"/>
  <c r="L257" i="1" a="1"/>
  <c r="L257" i="1"/>
  <c r="L258" i="1" a="1"/>
  <c r="L258" i="1"/>
  <c r="L259" i="1" a="1"/>
  <c r="L259" i="1"/>
  <c r="L260" i="1" a="1"/>
  <c r="L260" i="1"/>
  <c r="L261" i="1" a="1"/>
  <c r="L261" i="1"/>
  <c r="L262" i="1" a="1"/>
  <c r="L262" i="1"/>
  <c r="L263" i="1" a="1"/>
  <c r="L263" i="1"/>
  <c r="L264" i="1" a="1"/>
  <c r="L264" i="1"/>
  <c r="L265" i="1" a="1"/>
  <c r="L265" i="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<sst xmlns="http://schemas.openxmlformats.org/spreadsheetml/2006/main" count="1473" uniqueCount="54">
  <si>
    <t>Customer ID</t>
  </si>
  <si>
    <t>Gender</t>
  </si>
  <si>
    <t>Age</t>
  </si>
  <si>
    <t>City</t>
  </si>
  <si>
    <t>Membership Type</t>
  </si>
  <si>
    <t>Total Spend</t>
  </si>
  <si>
    <t>Items Purchased</t>
  </si>
  <si>
    <t>Average Rating</t>
  </si>
  <si>
    <t>Discount Applied</t>
  </si>
  <si>
    <t>Days Since Last Purchase</t>
  </si>
  <si>
    <t>Satisfaction Level</t>
  </si>
  <si>
    <t>Female</t>
  </si>
  <si>
    <t>New York</t>
  </si>
  <si>
    <t>Gold</t>
  </si>
  <si>
    <t>Satisfied</t>
  </si>
  <si>
    <t>Male</t>
  </si>
  <si>
    <t>Los Angeles</t>
  </si>
  <si>
    <t>Silver</t>
  </si>
  <si>
    <t>Neutral</t>
  </si>
  <si>
    <t>Chicago</t>
  </si>
  <si>
    <t>Bronze</t>
  </si>
  <si>
    <t>Unsatisfied</t>
  </si>
  <si>
    <t>San Francisco</t>
  </si>
  <si>
    <t>Miami</t>
  </si>
  <si>
    <t>Houston</t>
  </si>
  <si>
    <t>Age Group</t>
  </si>
  <si>
    <t>Customer type</t>
  </si>
  <si>
    <t>Recency Group</t>
  </si>
  <si>
    <t>Row Labels</t>
  </si>
  <si>
    <t>Sum of Total Spend</t>
  </si>
  <si>
    <t>Grand Total</t>
  </si>
  <si>
    <t>Count of Customer ID</t>
  </si>
  <si>
    <t>Active</t>
  </si>
  <si>
    <t>Inactive</t>
  </si>
  <si>
    <t>Warm</t>
  </si>
  <si>
    <t>25-28</t>
  </si>
  <si>
    <t>29-32</t>
  </si>
  <si>
    <t>33-36</t>
  </si>
  <si>
    <t>37-40</t>
  </si>
  <si>
    <t>41-45</t>
  </si>
  <si>
    <t>Count of Membership Type</t>
  </si>
  <si>
    <t>Count of Satisfaction Level</t>
  </si>
  <si>
    <t>Count of Recency Group</t>
  </si>
  <si>
    <t>Average of Total Spend</t>
  </si>
  <si>
    <t>Average of Average Rating</t>
  </si>
  <si>
    <t>Total Customers</t>
  </si>
  <si>
    <t>Total Revenue</t>
  </si>
  <si>
    <t>Average Spend</t>
  </si>
  <si>
    <t>FALSE</t>
  </si>
  <si>
    <t>TRUE</t>
  </si>
  <si>
    <t>Sum of Items Purchased</t>
  </si>
  <si>
    <t>High Value</t>
  </si>
  <si>
    <t>Low Value</t>
  </si>
  <si>
    <t>Medium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</si>
</sst>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4009]\ * #,##0.00_ ;_ [$₹-4009]\ * \-#,##0.00_ ;_ [$₹-4009]\ * &quot;-&quot;??_ ;_ @_ "/>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0" borderId="0" xfId="0" applyAlignment="1">
      <alignment vertical="center"/>
    </xf>
    <xf numFmtId="16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1" defaultTableStyle="TableStyleMedium2" defaultPivotStyle="PivotStyleLight16">
    <tableStyle name="Invisible" pivot="0" table="0" count="0" xr9:uid="{BBBA7721-405A-4D58-93EE-3EB16F65B656}"/>
  </tableStyles>
  <colors>
    <mruColors>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Behaviour Dash II.xlsx]Sheet1!PivotTable2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masis MT Pro Light" panose="02040304050005020304" pitchFamily="18" charset="0"/>
              </a:rPr>
              <a:t>City</a:t>
            </a:r>
            <a:r>
              <a:rPr lang="en-US" b="1" baseline="0">
                <a:latin typeface="Amasis MT Pro Light" panose="02040304050005020304" pitchFamily="18" charset="0"/>
              </a:rPr>
              <a:t>-Wise Spending</a:t>
            </a:r>
            <a:endParaRPr lang="en-US" b="1">
              <a:latin typeface="Amasis MT Pro Light" panose="02040304050005020304" pitchFamily="18" charset="0"/>
            </a:endParaRPr>
          </a:p>
        </c:rich>
      </c:tx>
      <c:layout>
        <c:manualLayout>
          <c:xMode val="edge"/>
          <c:yMode val="edge"/>
          <c:x val="0.34985868176931639"/>
          <c:y val="4.9178390390204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Sheet1!$B$3</c:f>
              <c:strCache>
                <c:ptCount val="1"/>
                <c:pt idx="0">
                  <c:v>Total</c:v>
                </c:pt>
              </c:strCache>
            </c:strRef>
          </c:tx>
          <c:spPr>
            <a:solidFill>
              <a:schemeClr val="accent1"/>
            </a:solidFill>
            <a:ln>
              <a:noFill/>
            </a:ln>
            <a:effectLst/>
          </c:spPr>
          <c:invertIfNegative val="0"/>
          <c:cat>
            <c:strRef>
              <c:f>Sheet1!$A$4:$A$10</c:f>
              <c:strCache>
                <c:ptCount val="6"/>
                <c:pt idx="0">
                  <c:v>Chicago</c:v>
                </c:pt>
                <c:pt idx="1">
                  <c:v>Houston</c:v>
                </c:pt>
                <c:pt idx="2">
                  <c:v>Los Angeles</c:v>
                </c:pt>
                <c:pt idx="3">
                  <c:v>Miami</c:v>
                </c:pt>
                <c:pt idx="4">
                  <c:v>New York</c:v>
                </c:pt>
                <c:pt idx="5">
                  <c:v>San Francisco</c:v>
                </c:pt>
              </c:strCache>
            </c:strRef>
          </c:cat>
          <c:val>
            <c:numRef>
              <c:f>Sheet1!$B$4:$B$10</c:f>
              <c:numCache>
                <c:formatCode>General</c:formatCode>
                <c:ptCount val="6"/>
                <c:pt idx="0">
                  <c:v>28993.200000000001</c:v>
                </c:pt>
                <c:pt idx="1">
                  <c:v>25919.899999999987</c:v>
                </c:pt>
                <c:pt idx="2">
                  <c:v>47524</c:v>
                </c:pt>
                <c:pt idx="3">
                  <c:v>40042.60000000002</c:v>
                </c:pt>
                <c:pt idx="4">
                  <c:v>68737.10000000002</c:v>
                </c:pt>
                <c:pt idx="5">
                  <c:v>84666.800000000017</c:v>
                </c:pt>
              </c:numCache>
            </c:numRef>
          </c:val>
          <c:extLst>
            <c:ext xmlns:c16="http://schemas.microsoft.com/office/drawing/2014/chart" uri="{C3380CC4-5D6E-409C-BE32-E72D297353CC}">
              <c16:uniqueId val="{00000000-130F-4A4E-AF98-45AC3F617E1A}"/>
            </c:ext>
          </c:extLst>
        </c:ser>
        <c:dLbls>
          <c:showLegendKey val="0"/>
          <c:showVal val="0"/>
          <c:showCatName val="0"/>
          <c:showSerName val="0"/>
          <c:showPercent val="0"/>
          <c:showBubbleSize val="0"/>
        </c:dLbls>
        <c:gapWidth val="150"/>
        <c:overlap val="100"/>
        <c:axId val="1586566448"/>
        <c:axId val="1586566928"/>
      </c:barChart>
      <c:catAx>
        <c:axId val="158656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86566928"/>
        <c:crosses val="autoZero"/>
        <c:auto val="1"/>
        <c:lblAlgn val="ctr"/>
        <c:lblOffset val="100"/>
        <c:noMultiLvlLbl val="0"/>
      </c:catAx>
      <c:valAx>
        <c:axId val="15865669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8656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 Behaviour Dash II.xlsx]Sheet1!PivotTable3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baseline="0">
                <a:solidFill>
                  <a:sysClr val="windowText" lastClr="000000"/>
                </a:solidFill>
                <a:latin typeface="Amasis MT Pro Light" panose="02040304050005020304" pitchFamily="18" charset="0"/>
              </a:rPr>
              <a:t>Customer Distribution by Membership Type</a:t>
            </a:r>
            <a:endParaRPr lang="en-IN" sz="1100">
              <a:solidFill>
                <a:sysClr val="windowText" lastClr="000000"/>
              </a:solidFill>
              <a:latin typeface="Amasis MT Pro Light" panose="020403040500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DEC-45C5-ADD1-3AFE2D124F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DEC-45C5-ADD1-3AFE2D124F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DEC-45C5-ADD1-3AFE2D124F0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0"/>
            <c:extLst>
              <c:ext xmlns:c15="http://schemas.microsoft.com/office/drawing/2012/chart" uri="{CE6537A1-D6FC-4f65-9D91-7224C49458BB}"/>
            </c:extLst>
          </c:dLbls>
          <c:cat>
            <c:strRef>
              <c:f>Sheet1!$A$13:$A$16</c:f>
              <c:strCache>
                <c:ptCount val="3"/>
                <c:pt idx="0">
                  <c:v>Bronze</c:v>
                </c:pt>
                <c:pt idx="1">
                  <c:v>Gold</c:v>
                </c:pt>
                <c:pt idx="2">
                  <c:v>Silver</c:v>
                </c:pt>
              </c:strCache>
            </c:strRef>
          </c:cat>
          <c:val>
            <c:numRef>
              <c:f>Sheet1!$B$13:$B$16</c:f>
              <c:numCache>
                <c:formatCode>General</c:formatCode>
                <c:ptCount val="3"/>
                <c:pt idx="0">
                  <c:v>116</c:v>
                </c:pt>
                <c:pt idx="1">
                  <c:v>117</c:v>
                </c:pt>
                <c:pt idx="2">
                  <c:v>117</c:v>
                </c:pt>
              </c:numCache>
            </c:numRef>
          </c:val>
          <c:extLst>
            <c:ext xmlns:c16="http://schemas.microsoft.com/office/drawing/2014/chart" uri="{C3380CC4-5D6E-409C-BE32-E72D297353CC}">
              <c16:uniqueId val="{00000006-EDEC-45C5-ADD1-3AFE2D124F0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Behaviour Dash II.xlsx]Sheet1!PivotTable4</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sz="1400"/>
              <a:t>age</a:t>
            </a:r>
            <a:r>
              <a:rPr lang="en-IN" sz="1400" baseline="0"/>
              <a:t> vs spend</a:t>
            </a:r>
            <a:endParaRPr lang="en-IN" sz="1400"/>
          </a:p>
        </c:rich>
      </c:tx>
      <c:layout>
        <c:manualLayout>
          <c:xMode val="edge"/>
          <c:yMode val="edge"/>
          <c:x val="0.35675519583042314"/>
          <c:y val="5.8302816855872422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Sheet1!$A$19:$A$24</c:f>
              <c:strCache>
                <c:ptCount val="5"/>
                <c:pt idx="0">
                  <c:v>25-28</c:v>
                </c:pt>
                <c:pt idx="1">
                  <c:v>29-32</c:v>
                </c:pt>
                <c:pt idx="2">
                  <c:v>33-36</c:v>
                </c:pt>
                <c:pt idx="3">
                  <c:v>37-40</c:v>
                </c:pt>
                <c:pt idx="4">
                  <c:v>41-45</c:v>
                </c:pt>
              </c:strCache>
            </c:strRef>
          </c:cat>
          <c:val>
            <c:numRef>
              <c:f>Sheet1!$B$19:$B$24</c:f>
              <c:numCache>
                <c:formatCode>General</c:formatCode>
                <c:ptCount val="5"/>
                <c:pt idx="0">
                  <c:v>59788.299999999996</c:v>
                </c:pt>
                <c:pt idx="1">
                  <c:v>133018.30000000013</c:v>
                </c:pt>
                <c:pt idx="2">
                  <c:v>59716.499999999993</c:v>
                </c:pt>
                <c:pt idx="3">
                  <c:v>14367.299999999992</c:v>
                </c:pt>
                <c:pt idx="4">
                  <c:v>28993.200000000001</c:v>
                </c:pt>
              </c:numCache>
            </c:numRef>
          </c:val>
          <c:extLst>
            <c:ext xmlns:c16="http://schemas.microsoft.com/office/drawing/2014/chart" uri="{C3380CC4-5D6E-409C-BE32-E72D297353CC}">
              <c16:uniqueId val="{00000003-855F-4F02-AAB0-FD2521608428}"/>
            </c:ext>
          </c:extLst>
        </c:ser>
        <c:dLbls>
          <c:showLegendKey val="0"/>
          <c:showVal val="0"/>
          <c:showCatName val="0"/>
          <c:showSerName val="0"/>
          <c:showPercent val="0"/>
          <c:showBubbleSize val="0"/>
        </c:dLbls>
        <c:gapWidth val="355"/>
        <c:overlap val="-70"/>
        <c:axId val="1537747199"/>
        <c:axId val="1537744799"/>
      </c:barChart>
      <c:catAx>
        <c:axId val="153774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37744799"/>
        <c:crosses val="autoZero"/>
        <c:auto val="1"/>
        <c:lblAlgn val="ctr"/>
        <c:lblOffset val="100"/>
        <c:noMultiLvlLbl val="0"/>
      </c:catAx>
      <c:valAx>
        <c:axId val="1537744799"/>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37747199"/>
        <c:crosses val="autoZero"/>
        <c:crossBetween val="between"/>
      </c:valAx>
      <c:spPr>
        <a:noFill/>
        <a:ln>
          <a:noFill/>
        </a:ln>
        <a:effectLst/>
      </c:spPr>
    </c:plotArea>
    <c:plotVisOnly val="1"/>
    <c:dispBlanksAs val="gap"/>
    <c:showDLblsOverMax val="0"/>
    <c:extLst/>
  </c:chart>
  <c:spPr>
    <a:solidFill>
      <a:schemeClr val="bg1">
        <a:lumMod val="95000"/>
      </a:schemeClr>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[Customer Behaviour Dash II.xlsx]Sheet1!PivotTable5</c:name>
    <c:fmtId val="3"/>
  </c:pivotSource>
  <c:chart>
    <c:title>
      <c:tx>
        <c:rich>
          <a:bodyPr rot="0" spcFirstLastPara="1" vertOverflow="ellipsis" vert="horz" wrap="square" anchor="ctr" anchorCtr="1"/>
          <a:lstStyle/>
          <a:p>
            <a:pPr>
              <a:defRPr sz="1050" b="0" i="0" u="none" strike="noStrike" kern="1200" spc="0" baseline="0">
                <a:solidFill>
                  <a:sysClr val="windowText" lastClr="000000"/>
                </a:solidFill>
                <a:latin typeface="Amasis MT Pro Light" panose="02040304050005020304" pitchFamily="18" charset="0"/>
                <a:ea typeface="+mn-ea"/>
                <a:cs typeface="+mn-cs"/>
              </a:defRPr>
            </a:pPr>
            <a:r>
              <a:rPr lang="en-IN" sz="1050" b="0" i="0" u="none" strike="noStrike" baseline="0">
                <a:solidFill>
                  <a:sysClr val="windowText" lastClr="000000"/>
                </a:solidFill>
                <a:latin typeface="Amasis MT Pro Light" panose="02040304050005020304" pitchFamily="18" charset="0"/>
              </a:rPr>
              <a:t>Customer Satisfaction Analysis</a:t>
            </a:r>
            <a:endParaRPr lang="en-US" sz="1050" b="0">
              <a:solidFill>
                <a:sysClr val="windowText" lastClr="000000"/>
              </a:solidFill>
              <a:latin typeface="Amasis MT Pro Light" panose="02040304050005020304" pitchFamily="18" charset="0"/>
            </a:endParaRPr>
          </a:p>
        </c:rich>
      </c:tx>
      <c:layout>
        <c:manualLayout>
          <c:xMode val="edge"/>
          <c:yMode val="edge"/>
          <c:x val="0.1979350696574243"/>
          <c:y val="5.31445238125128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ysClr val="windowText" lastClr="000000"/>
              </a:solidFill>
              <a:latin typeface="Amasis MT Pro Light" panose="02040304050005020304" pitchFamily="18" charset="0"/>
              <a:ea typeface="+mn-ea"/>
              <a:cs typeface="+mn-cs"/>
            </a:defRPr>
          </a:pPr>
          <a:endParaRPr lang="en-US"/>
        </a:p>
      </c:txPr>
    </c:title>
    <c:autoTitleDeleted val="0"/>
    <c:pivotFmts>
      <c:pivotFmt>
        <c:idx val="0"/>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pivotFmt>
      <c:pivotFmt>
        <c:idx val="3"/>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5"/>
          </a:solidFill>
          <a:ln w="19050">
            <a:solidFill>
              <a:schemeClr val="lt1"/>
            </a:solidFill>
          </a:ln>
          <a:effectLst/>
        </c:spPr>
      </c:pivotFmt>
      <c:pivotFmt>
        <c:idx val="5"/>
        <c:spPr>
          <a:solidFill>
            <a:schemeClr val="accent5">
              <a:tint val="65000"/>
            </a:schemeClr>
          </a:solidFill>
          <a:ln w="19050">
            <a:solidFill>
              <a:schemeClr val="lt1"/>
            </a:solidFill>
          </a:ln>
          <a:effectLst/>
        </c:spPr>
      </c:pivotFmt>
      <c:pivotFmt>
        <c:idx val="6"/>
        <c:spPr>
          <a:solidFill>
            <a:schemeClr val="accent5">
              <a:shade val="65000"/>
            </a:schemeClr>
          </a:solidFill>
          <a:ln w="19050">
            <a:solidFill>
              <a:schemeClr val="lt1"/>
            </a:solidFill>
          </a:ln>
          <a:effectLst/>
        </c:spPr>
      </c:pivotFmt>
    </c:pivotFmts>
    <c:plotArea>
      <c:layout/>
      <c:doughnutChart>
        <c:varyColors val="1"/>
        <c:ser>
          <c:idx val="0"/>
          <c:order val="0"/>
          <c:tx>
            <c:strRef>
              <c:f>Sheet1!$E$3</c:f>
              <c:strCache>
                <c:ptCount val="1"/>
                <c:pt idx="0">
                  <c:v>Total</c:v>
                </c:pt>
              </c:strCache>
            </c:strRef>
          </c:tx>
          <c:dPt>
            <c:idx val="0"/>
            <c:bubble3D val="0"/>
            <c:spPr>
              <a:solidFill>
                <a:schemeClr val="accent5">
                  <a:tint val="65000"/>
                </a:schemeClr>
              </a:solidFill>
              <a:ln w="19050">
                <a:solidFill>
                  <a:schemeClr val="lt1"/>
                </a:solidFill>
              </a:ln>
              <a:effectLst/>
            </c:spPr>
            <c:extLst>
              <c:ext xmlns:c16="http://schemas.microsoft.com/office/drawing/2014/chart" uri="{C3380CC4-5D6E-409C-BE32-E72D297353CC}">
                <c16:uniqueId val="{00000001-99B0-480A-8316-1D669CD00A41}"/>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94A-4911-A3F5-317870B78456}"/>
              </c:ext>
            </c:extLst>
          </c:dPt>
          <c:dPt>
            <c:idx val="2"/>
            <c:bubble3D val="0"/>
            <c:spPr>
              <a:solidFill>
                <a:schemeClr val="accent5">
                  <a:shade val="65000"/>
                </a:schemeClr>
              </a:solidFill>
              <a:ln w="19050">
                <a:solidFill>
                  <a:schemeClr val="lt1"/>
                </a:solidFill>
              </a:ln>
              <a:effectLst/>
            </c:spPr>
            <c:extLst>
              <c:ext xmlns:c16="http://schemas.microsoft.com/office/drawing/2014/chart" uri="{C3380CC4-5D6E-409C-BE32-E72D297353CC}">
                <c16:uniqueId val="{00000005-794A-4911-A3F5-317870B7845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Sheet1!$D$4:$D$7</c:f>
              <c:strCache>
                <c:ptCount val="3"/>
                <c:pt idx="0">
                  <c:v>Neutral</c:v>
                </c:pt>
                <c:pt idx="1">
                  <c:v>Satisfied</c:v>
                </c:pt>
                <c:pt idx="2">
                  <c:v>Unsatisfied</c:v>
                </c:pt>
              </c:strCache>
            </c:strRef>
          </c:cat>
          <c:val>
            <c:numRef>
              <c:f>Sheet1!$E$4:$E$7</c:f>
              <c:numCache>
                <c:formatCode>General</c:formatCode>
                <c:ptCount val="3"/>
                <c:pt idx="0">
                  <c:v>107</c:v>
                </c:pt>
                <c:pt idx="1">
                  <c:v>125</c:v>
                </c:pt>
                <c:pt idx="2">
                  <c:v>118</c:v>
                </c:pt>
              </c:numCache>
            </c:numRef>
          </c:val>
          <c:extLst>
            <c:ext xmlns:c16="http://schemas.microsoft.com/office/drawing/2014/chart" uri="{C3380CC4-5D6E-409C-BE32-E72D297353CC}">
              <c16:uniqueId val="{00000002-99B0-480A-8316-1D669CD00A41}"/>
            </c:ext>
          </c:extLst>
        </c:ser>
        <c:dLbls>
          <c:showLegendKey val="0"/>
          <c:showVal val="1"/>
          <c:showCatName val="0"/>
          <c:showSerName val="0"/>
          <c:showPercent val="0"/>
          <c:showBubbleSize val="0"/>
          <c:showLeaderLines val="0"/>
        </c:dLbls>
        <c:firstSliceAng val="0"/>
        <c:holeSize val="5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[Customer Behaviour Dash II.xlsx]Sheet1!PivotTable12</c:name>
    <c:fmtId val="10"/>
  </c:pivotSource>
  <c:chart>
    <c:title>
      <c:tx>
        <c:rich>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r>
              <a:rPr lang="en-IN" sz="1080" b="0" i="0" u="none" strike="noStrike" baseline="0">
                <a:latin typeface="Amasis MT Pro Light" panose="02040304050005020304" pitchFamily="18" charset="0"/>
              </a:rPr>
              <a:t>Buying Behavior by Customer Type</a:t>
            </a:r>
            <a:endParaRPr lang="en-IN">
              <a:latin typeface="Amasis MT Pro Light" panose="02040304050005020304" pitchFamily="18" charset="0"/>
            </a:endParaRPr>
          </a:p>
        </c:rich>
      </c:tx>
      <c:layout>
        <c:manualLayout>
          <c:xMode val="edge"/>
          <c:yMode val="edge"/>
          <c:x val="0.31135887562835229"/>
          <c:y val="5.6969102272646885E-2"/>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9931677104952179"/>
          <c:y val="0.14979253509176021"/>
          <c:w val="0.47556695215241557"/>
          <c:h val="0.6788261784884837"/>
        </c:manualLayout>
      </c:layout>
      <c:bar3DChart>
        <c:barDir val="bar"/>
        <c:grouping val="clustered"/>
        <c:varyColors val="0"/>
        <c:ser>
          <c:idx val="0"/>
          <c:order val="0"/>
          <c:tx>
            <c:strRef>
              <c:f>Sheet1!$I$21</c:f>
              <c:strCache>
                <c:ptCount val="1"/>
                <c:pt idx="0">
                  <c:v>Total</c:v>
                </c:pt>
              </c:strCache>
            </c:strRef>
          </c:tx>
          <c:spPr>
            <a:solidFill>
              <a:schemeClr val="accent1"/>
            </a:solidFill>
            <a:ln>
              <a:noFill/>
            </a:ln>
            <a:effectLst/>
            <a:sp3d/>
          </c:spPr>
          <c:invertIfNegative val="0"/>
          <c:cat>
            <c:strRef>
              <c:f>Sheet1!$H$22:$H$25</c:f>
              <c:strCache>
                <c:ptCount val="3"/>
                <c:pt idx="0">
                  <c:v>High Value</c:v>
                </c:pt>
                <c:pt idx="1">
                  <c:v>Low Value</c:v>
                </c:pt>
                <c:pt idx="2">
                  <c:v>Medium Value</c:v>
                </c:pt>
              </c:strCache>
            </c:strRef>
          </c:cat>
          <c:val>
            <c:numRef>
              <c:f>Sheet1!$I$22:$I$25</c:f>
              <c:numCache>
                <c:formatCode>General</c:formatCode>
                <c:ptCount val="3"/>
                <c:pt idx="0">
                  <c:v>2061</c:v>
                </c:pt>
                <c:pt idx="1">
                  <c:v>666</c:v>
                </c:pt>
                <c:pt idx="2">
                  <c:v>1683</c:v>
                </c:pt>
              </c:numCache>
            </c:numRef>
          </c:val>
          <c:extLst>
            <c:ext xmlns:c16="http://schemas.microsoft.com/office/drawing/2014/chart" uri="{C3380CC4-5D6E-409C-BE32-E72D297353CC}">
              <c16:uniqueId val="{00000000-4D4A-4178-BFA4-DDD946677F63}"/>
            </c:ext>
          </c:extLst>
        </c:ser>
        <c:dLbls>
          <c:showLegendKey val="0"/>
          <c:showVal val="0"/>
          <c:showCatName val="0"/>
          <c:showSerName val="0"/>
          <c:showPercent val="0"/>
          <c:showBubbleSize val="0"/>
        </c:dLbls>
        <c:gapWidth val="150"/>
        <c:shape val="box"/>
        <c:axId val="1655821151"/>
        <c:axId val="1655804831"/>
        <c:axId val="0"/>
      </c:bar3DChart>
      <c:catAx>
        <c:axId val="16558211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655804831"/>
        <c:crosses val="autoZero"/>
        <c:auto val="1"/>
        <c:lblAlgn val="ctr"/>
        <c:lblOffset val="100"/>
        <c:noMultiLvlLbl val="0"/>
      </c:catAx>
      <c:valAx>
        <c:axId val="16558048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r>
                  <a:rPr lang="en-IN">
                    <a:solidFill>
                      <a:sysClr val="windowText" lastClr="000000"/>
                    </a:solidFill>
                    <a:latin typeface="Amasis MT Pro Light" panose="02040304050005020304" pitchFamily="18" charset="0"/>
                  </a:rPr>
                  <a:t>Items</a:t>
                </a:r>
                <a:r>
                  <a:rPr lang="en-IN" baseline="0">
                    <a:solidFill>
                      <a:sysClr val="windowText" lastClr="000000"/>
                    </a:solidFill>
                    <a:latin typeface="Amasis MT Pro Light" panose="02040304050005020304" pitchFamily="18" charset="0"/>
                  </a:rPr>
                  <a:t> Pucharsed</a:t>
                </a:r>
                <a:endParaRPr lang="en-IN">
                  <a:solidFill>
                    <a:sysClr val="windowText" lastClr="000000"/>
                  </a:solidFill>
                  <a:latin typeface="Amasis MT Pro Light" panose="02040304050005020304" pitchFamily="18" charset="0"/>
                </a:endParaRPr>
              </a:p>
            </c:rich>
          </c:tx>
          <c:layout>
            <c:manualLayout>
              <c:xMode val="edge"/>
              <c:yMode val="edge"/>
              <c:x val="1.860377361157137E-2"/>
              <c:y val="0.8937257834499972"/>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655821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2">
          <a:lumMod val="25000"/>
        </a:schemeClr>
      </a:solid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colors5.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65E8F8C-6DE1-45B3-87C7-E391E23103BB}" type="doc">
      <dgm:prSet loTypeId="urn:microsoft.com/office/officeart/2008/layout/VerticalCurvedList" loCatId="list" qsTypeId="urn:microsoft.com/office/officeart/2005/8/quickstyle/simple1" qsCatId="simple" csTypeId="urn:microsoft.com/office/officeart/2005/8/colors/accent1_2" csCatId="accent1" phldr="1"/>
      <dgm:spPr/>
      <dgm:t>
        <a:bodyPr/>
        <a:lstStyle/>
        <a:p>
          <a:endParaRPr lang="en-IN"/>
        </a:p>
      </dgm:t>
    </dgm:pt>
    <dgm:pt modelId="{12985CEB-8D27-4C1E-9106-9734C7470F9E}">
      <dgm:prSet phldrT="[Text]"/>
      <dgm:spPr/>
      <dgm:t>
        <a:bodyPr/>
        <a:lstStyle/>
        <a:p>
          <a:pPr algn="l">
            <a:buNone/>
          </a:pPr>
          <a:r>
            <a:rPr lang="en-IN" b="1"/>
            <a:t>    Segmentation</a:t>
          </a:r>
        </a:p>
      </dgm:t>
    </dgm:pt>
    <dgm:pt modelId="{D54A96C8-5D8C-48B5-BB30-3F566FCC79A2}" type="parTrans" cxnId="{F009F9D4-7758-435C-9E00-146559E8A2E4}">
      <dgm:prSet/>
      <dgm:spPr/>
      <dgm:t>
        <a:bodyPr/>
        <a:lstStyle/>
        <a:p>
          <a:endParaRPr lang="en-IN"/>
        </a:p>
      </dgm:t>
    </dgm:pt>
    <dgm:pt modelId="{A81E5FF3-897F-4CEB-AFFC-1A0ECE4BE0A6}" type="sibTrans" cxnId="{F009F9D4-7758-435C-9E00-146559E8A2E4}">
      <dgm:prSet/>
      <dgm:spPr/>
      <dgm:t>
        <a:bodyPr/>
        <a:lstStyle/>
        <a:p>
          <a:endParaRPr lang="en-IN"/>
        </a:p>
      </dgm:t>
    </dgm:pt>
    <dgm:pt modelId="{ACBD571B-D0A4-48D0-A60B-B9104FD5BD76}">
      <dgm:prSet phldrT="[Text]"/>
      <dgm:spPr/>
      <dgm:t>
        <a:bodyPr/>
        <a:lstStyle/>
        <a:p>
          <a:pPr>
            <a:buNone/>
          </a:pPr>
          <a:r>
            <a:rPr lang="en-IN" b="1"/>
            <a:t> Engagement</a:t>
          </a:r>
        </a:p>
      </dgm:t>
    </dgm:pt>
    <dgm:pt modelId="{176A5358-BAAA-4EAA-96EA-E4DBDADF827A}" type="parTrans" cxnId="{8F1E125A-026E-4681-8A59-7D6C8000C4EA}">
      <dgm:prSet/>
      <dgm:spPr/>
      <dgm:t>
        <a:bodyPr/>
        <a:lstStyle/>
        <a:p>
          <a:endParaRPr lang="en-IN"/>
        </a:p>
      </dgm:t>
    </dgm:pt>
    <dgm:pt modelId="{3AC089F9-A449-4309-A1C0-840B4DB0ADE5}" type="sibTrans" cxnId="{8F1E125A-026E-4681-8A59-7D6C8000C4EA}">
      <dgm:prSet/>
      <dgm:spPr/>
      <dgm:t>
        <a:bodyPr/>
        <a:lstStyle/>
        <a:p>
          <a:endParaRPr lang="en-IN"/>
        </a:p>
      </dgm:t>
    </dgm:pt>
    <dgm:pt modelId="{6EF4C176-7482-4AA6-8730-39F2FBF89A1F}">
      <dgm:prSet phldrT="[Text]"/>
      <dgm:spPr/>
      <dgm:t>
        <a:bodyPr/>
        <a:lstStyle/>
        <a:p>
          <a:pPr>
            <a:buNone/>
          </a:pPr>
          <a:r>
            <a:rPr lang="en-IN" b="1"/>
            <a:t> Spending </a:t>
          </a:r>
        </a:p>
      </dgm:t>
    </dgm:pt>
    <dgm:pt modelId="{4D56DF18-9C2A-4CE9-BC42-B86915327A71}" type="sibTrans" cxnId="{9B530597-15E6-45D2-B142-E9615BD1541B}">
      <dgm:prSet/>
      <dgm:spPr/>
      <dgm:t>
        <a:bodyPr/>
        <a:lstStyle/>
        <a:p>
          <a:endParaRPr lang="en-IN"/>
        </a:p>
      </dgm:t>
    </dgm:pt>
    <dgm:pt modelId="{2933D459-EB82-4A41-B2E4-BCE78C596B43}" type="parTrans" cxnId="{9B530597-15E6-45D2-B142-E9615BD1541B}">
      <dgm:prSet/>
      <dgm:spPr/>
      <dgm:t>
        <a:bodyPr/>
        <a:lstStyle/>
        <a:p>
          <a:endParaRPr lang="en-IN"/>
        </a:p>
      </dgm:t>
    </dgm:pt>
    <dgm:pt modelId="{BC64C4A7-DA21-4236-86D5-ABE452621312}">
      <dgm:prSet/>
      <dgm:spPr/>
      <dgm:t>
        <a:bodyPr/>
        <a:lstStyle/>
        <a:p>
          <a:pPr>
            <a:buNone/>
          </a:pPr>
          <a:r>
            <a:rPr lang="en-IN" b="1"/>
            <a:t>      Insights</a:t>
          </a:r>
        </a:p>
      </dgm:t>
    </dgm:pt>
    <dgm:pt modelId="{1621F490-1C6C-4909-B173-A5C98CFEAD67}" type="parTrans" cxnId="{604D10DF-DEEC-44B6-B803-0746371A01BD}">
      <dgm:prSet/>
      <dgm:spPr/>
      <dgm:t>
        <a:bodyPr/>
        <a:lstStyle/>
        <a:p>
          <a:endParaRPr lang="en-IN"/>
        </a:p>
      </dgm:t>
    </dgm:pt>
    <dgm:pt modelId="{FF968968-C359-49A7-8697-77F004769095}" type="sibTrans" cxnId="{604D10DF-DEEC-44B6-B803-0746371A01BD}">
      <dgm:prSet/>
      <dgm:spPr/>
      <dgm:t>
        <a:bodyPr/>
        <a:lstStyle/>
        <a:p>
          <a:endParaRPr lang="en-IN"/>
        </a:p>
      </dgm:t>
    </dgm:pt>
    <dgm:pt modelId="{6DF426F9-303D-4482-B428-2872686A841F}" type="pres">
      <dgm:prSet presAssocID="{165E8F8C-6DE1-45B3-87C7-E391E23103BB}" presName="Name0" presStyleCnt="0">
        <dgm:presLayoutVars>
          <dgm:chMax val="7"/>
          <dgm:chPref val="7"/>
          <dgm:dir/>
        </dgm:presLayoutVars>
      </dgm:prSet>
      <dgm:spPr/>
    </dgm:pt>
    <dgm:pt modelId="{4D21C03A-4A28-47BD-9E92-B7E82E320199}" type="pres">
      <dgm:prSet presAssocID="{165E8F8C-6DE1-45B3-87C7-E391E23103BB}" presName="Name1" presStyleCnt="0"/>
      <dgm:spPr/>
    </dgm:pt>
    <dgm:pt modelId="{E3005515-2258-4CAA-8290-97519C684232}" type="pres">
      <dgm:prSet presAssocID="{165E8F8C-6DE1-45B3-87C7-E391E23103BB}" presName="cycle" presStyleCnt="0"/>
      <dgm:spPr/>
    </dgm:pt>
    <dgm:pt modelId="{91BC42D7-9A42-4553-92D9-F217C36C1AF5}" type="pres">
      <dgm:prSet presAssocID="{165E8F8C-6DE1-45B3-87C7-E391E23103BB}" presName="srcNode" presStyleLbl="node1" presStyleIdx="0" presStyleCnt="4"/>
      <dgm:spPr/>
    </dgm:pt>
    <dgm:pt modelId="{571A4A27-D189-4E68-8D75-66037E325E55}" type="pres">
      <dgm:prSet presAssocID="{165E8F8C-6DE1-45B3-87C7-E391E23103BB}" presName="conn" presStyleLbl="parChTrans1D2" presStyleIdx="0" presStyleCnt="1"/>
      <dgm:spPr/>
    </dgm:pt>
    <dgm:pt modelId="{0D84DF84-717D-4D18-A062-705FE9D9E247}" type="pres">
      <dgm:prSet presAssocID="{165E8F8C-6DE1-45B3-87C7-E391E23103BB}" presName="extraNode" presStyleLbl="node1" presStyleIdx="0" presStyleCnt="4"/>
      <dgm:spPr/>
    </dgm:pt>
    <dgm:pt modelId="{C26BD10F-0317-4A4A-9EB6-F9BCBD24E70B}" type="pres">
      <dgm:prSet presAssocID="{165E8F8C-6DE1-45B3-87C7-E391E23103BB}" presName="dstNode" presStyleLbl="node1" presStyleIdx="0" presStyleCnt="4"/>
      <dgm:spPr/>
    </dgm:pt>
    <dgm:pt modelId="{B303CC44-C474-4DA7-8125-55AA80F43ADB}" type="pres">
      <dgm:prSet presAssocID="{12985CEB-8D27-4C1E-9106-9734C7470F9E}" presName="text_1" presStyleLbl="node1" presStyleIdx="0" presStyleCnt="4">
        <dgm:presLayoutVars>
          <dgm:bulletEnabled val="1"/>
        </dgm:presLayoutVars>
      </dgm:prSet>
      <dgm:spPr/>
    </dgm:pt>
    <dgm:pt modelId="{FE45D72F-DA6E-415E-9DAF-DB871FBAA4B8}" type="pres">
      <dgm:prSet presAssocID="{12985CEB-8D27-4C1E-9106-9734C7470F9E}" presName="accent_1" presStyleCnt="0"/>
      <dgm:spPr/>
    </dgm:pt>
    <dgm:pt modelId="{7AF3743A-338A-4130-A6A7-DD7F38604C3D}" type="pres">
      <dgm:prSet presAssocID="{12985CEB-8D27-4C1E-9106-9734C7470F9E}" presName="accentRepeatNode" presStyleLbl="solidFgAcc1" presStyleIdx="0" presStyleCnt="4"/>
      <dgm:spPr/>
    </dgm:pt>
    <dgm:pt modelId="{5DD41428-A8D6-4B58-86C6-1510A983DBDB}" type="pres">
      <dgm:prSet presAssocID="{6EF4C176-7482-4AA6-8730-39F2FBF89A1F}" presName="text_2" presStyleLbl="node1" presStyleIdx="1" presStyleCnt="4">
        <dgm:presLayoutVars>
          <dgm:bulletEnabled val="1"/>
        </dgm:presLayoutVars>
      </dgm:prSet>
      <dgm:spPr/>
    </dgm:pt>
    <dgm:pt modelId="{95DDBC25-7A0C-4283-94E8-06D90A98B005}" type="pres">
      <dgm:prSet presAssocID="{6EF4C176-7482-4AA6-8730-39F2FBF89A1F}" presName="accent_2" presStyleCnt="0"/>
      <dgm:spPr/>
    </dgm:pt>
    <dgm:pt modelId="{95D641F2-67A8-462B-9024-33943121453B}" type="pres">
      <dgm:prSet presAssocID="{6EF4C176-7482-4AA6-8730-39F2FBF89A1F}" presName="accentRepeatNode" presStyleLbl="solidFgAcc1" presStyleIdx="1" presStyleCnt="4"/>
      <dgm:spPr/>
    </dgm:pt>
    <dgm:pt modelId="{660B389E-0DB8-4FA9-9FDB-43DB5E60BE4E}" type="pres">
      <dgm:prSet presAssocID="{ACBD571B-D0A4-48D0-A60B-B9104FD5BD76}" presName="text_3" presStyleLbl="node1" presStyleIdx="2" presStyleCnt="4">
        <dgm:presLayoutVars>
          <dgm:bulletEnabled val="1"/>
        </dgm:presLayoutVars>
      </dgm:prSet>
      <dgm:spPr/>
    </dgm:pt>
    <dgm:pt modelId="{0F663B3A-05B7-42C0-B9BB-38D05E48D851}" type="pres">
      <dgm:prSet presAssocID="{ACBD571B-D0A4-48D0-A60B-B9104FD5BD76}" presName="accent_3" presStyleCnt="0"/>
      <dgm:spPr/>
    </dgm:pt>
    <dgm:pt modelId="{22CF95F4-5B3E-40E8-9261-08114C70B1D8}" type="pres">
      <dgm:prSet presAssocID="{ACBD571B-D0A4-48D0-A60B-B9104FD5BD76}" presName="accentRepeatNode" presStyleLbl="solidFgAcc1" presStyleIdx="2" presStyleCnt="4"/>
      <dgm:spPr/>
    </dgm:pt>
    <dgm:pt modelId="{AE7E9392-B037-4210-AE51-35F0FAF12ED1}" type="pres">
      <dgm:prSet presAssocID="{BC64C4A7-DA21-4236-86D5-ABE452621312}" presName="text_4" presStyleLbl="node1" presStyleIdx="3" presStyleCnt="4">
        <dgm:presLayoutVars>
          <dgm:bulletEnabled val="1"/>
        </dgm:presLayoutVars>
      </dgm:prSet>
      <dgm:spPr/>
    </dgm:pt>
    <dgm:pt modelId="{C08EED60-D092-469E-AFF3-CB6DDDB7A4A2}" type="pres">
      <dgm:prSet presAssocID="{BC64C4A7-DA21-4236-86D5-ABE452621312}" presName="accent_4" presStyleCnt="0"/>
      <dgm:spPr/>
    </dgm:pt>
    <dgm:pt modelId="{537E0B7E-9585-4331-9BE0-54C70E5D76F0}" type="pres">
      <dgm:prSet presAssocID="{BC64C4A7-DA21-4236-86D5-ABE452621312}" presName="accentRepeatNode" presStyleLbl="solidFgAcc1" presStyleIdx="3" presStyleCnt="4"/>
      <dgm:spPr/>
    </dgm:pt>
  </dgm:ptLst>
  <dgm:cxnLst>
    <dgm:cxn modelId="{6B0CE46B-84D6-4990-B3F1-4D0CF716EF80}" type="presOf" srcId="{A81E5FF3-897F-4CEB-AFFC-1A0ECE4BE0A6}" destId="{571A4A27-D189-4E68-8D75-66037E325E55}" srcOrd="0" destOrd="0" presId="urn:microsoft.com/office/officeart/2008/layout/VerticalCurvedList"/>
    <dgm:cxn modelId="{8F1E125A-026E-4681-8A59-7D6C8000C4EA}" srcId="{165E8F8C-6DE1-45B3-87C7-E391E23103BB}" destId="{ACBD571B-D0A4-48D0-A60B-B9104FD5BD76}" srcOrd="2" destOrd="0" parTransId="{176A5358-BAAA-4EAA-96EA-E4DBDADF827A}" sibTransId="{3AC089F9-A449-4309-A1C0-840B4DB0ADE5}"/>
    <dgm:cxn modelId="{4B752995-A304-40D7-8186-6E85CE4093BF}" type="presOf" srcId="{BC64C4A7-DA21-4236-86D5-ABE452621312}" destId="{AE7E9392-B037-4210-AE51-35F0FAF12ED1}" srcOrd="0" destOrd="0" presId="urn:microsoft.com/office/officeart/2008/layout/VerticalCurvedList"/>
    <dgm:cxn modelId="{9B530597-15E6-45D2-B142-E9615BD1541B}" srcId="{165E8F8C-6DE1-45B3-87C7-E391E23103BB}" destId="{6EF4C176-7482-4AA6-8730-39F2FBF89A1F}" srcOrd="1" destOrd="0" parTransId="{2933D459-EB82-4A41-B2E4-BCE78C596B43}" sibTransId="{4D56DF18-9C2A-4CE9-BC42-B86915327A71}"/>
    <dgm:cxn modelId="{962D129A-C286-4CCF-9A61-593C4D0BA46C}" type="presOf" srcId="{12985CEB-8D27-4C1E-9106-9734C7470F9E}" destId="{B303CC44-C474-4DA7-8125-55AA80F43ADB}" srcOrd="0" destOrd="0" presId="urn:microsoft.com/office/officeart/2008/layout/VerticalCurvedList"/>
    <dgm:cxn modelId="{31074CA0-5048-4ECE-9EC6-FC14C7910AC2}" type="presOf" srcId="{165E8F8C-6DE1-45B3-87C7-E391E23103BB}" destId="{6DF426F9-303D-4482-B428-2872686A841F}" srcOrd="0" destOrd="0" presId="urn:microsoft.com/office/officeart/2008/layout/VerticalCurvedList"/>
    <dgm:cxn modelId="{DBB086B4-E228-4C7C-A090-4B86760D11C8}" type="presOf" srcId="{6EF4C176-7482-4AA6-8730-39F2FBF89A1F}" destId="{5DD41428-A8D6-4B58-86C6-1510A983DBDB}" srcOrd="0" destOrd="0" presId="urn:microsoft.com/office/officeart/2008/layout/VerticalCurvedList"/>
    <dgm:cxn modelId="{F009F9D4-7758-435C-9E00-146559E8A2E4}" srcId="{165E8F8C-6DE1-45B3-87C7-E391E23103BB}" destId="{12985CEB-8D27-4C1E-9106-9734C7470F9E}" srcOrd="0" destOrd="0" parTransId="{D54A96C8-5D8C-48B5-BB30-3F566FCC79A2}" sibTransId="{A81E5FF3-897F-4CEB-AFFC-1A0ECE4BE0A6}"/>
    <dgm:cxn modelId="{604D10DF-DEEC-44B6-B803-0746371A01BD}" srcId="{165E8F8C-6DE1-45B3-87C7-E391E23103BB}" destId="{BC64C4A7-DA21-4236-86D5-ABE452621312}" srcOrd="3" destOrd="0" parTransId="{1621F490-1C6C-4909-B173-A5C98CFEAD67}" sibTransId="{FF968968-C359-49A7-8697-77F004769095}"/>
    <dgm:cxn modelId="{33BCB8F6-D930-4E4C-B049-0DD40CD874AD}" type="presOf" srcId="{ACBD571B-D0A4-48D0-A60B-B9104FD5BD76}" destId="{660B389E-0DB8-4FA9-9FDB-43DB5E60BE4E}" srcOrd="0" destOrd="0" presId="urn:microsoft.com/office/officeart/2008/layout/VerticalCurvedList"/>
    <dgm:cxn modelId="{4E60BB3F-AD9B-48D3-800D-179AF13F9DFB}" type="presParOf" srcId="{6DF426F9-303D-4482-B428-2872686A841F}" destId="{4D21C03A-4A28-47BD-9E92-B7E82E320199}" srcOrd="0" destOrd="0" presId="urn:microsoft.com/office/officeart/2008/layout/VerticalCurvedList"/>
    <dgm:cxn modelId="{5C6339BE-F34F-403A-A489-209AFD63BF3B}" type="presParOf" srcId="{4D21C03A-4A28-47BD-9E92-B7E82E320199}" destId="{E3005515-2258-4CAA-8290-97519C684232}" srcOrd="0" destOrd="0" presId="urn:microsoft.com/office/officeart/2008/layout/VerticalCurvedList"/>
    <dgm:cxn modelId="{FDC6AC2D-F13B-4F45-B263-2AB231693D16}" type="presParOf" srcId="{E3005515-2258-4CAA-8290-97519C684232}" destId="{91BC42D7-9A42-4553-92D9-F217C36C1AF5}" srcOrd="0" destOrd="0" presId="urn:microsoft.com/office/officeart/2008/layout/VerticalCurvedList"/>
    <dgm:cxn modelId="{B6C97C9F-1361-404C-A5FD-E1BDF8C7FE75}" type="presParOf" srcId="{E3005515-2258-4CAA-8290-97519C684232}" destId="{571A4A27-D189-4E68-8D75-66037E325E55}" srcOrd="1" destOrd="0" presId="urn:microsoft.com/office/officeart/2008/layout/VerticalCurvedList"/>
    <dgm:cxn modelId="{09594EC0-815E-49C8-ACC3-2322562849BD}" type="presParOf" srcId="{E3005515-2258-4CAA-8290-97519C684232}" destId="{0D84DF84-717D-4D18-A062-705FE9D9E247}" srcOrd="2" destOrd="0" presId="urn:microsoft.com/office/officeart/2008/layout/VerticalCurvedList"/>
    <dgm:cxn modelId="{E5007FD2-23EB-42B3-BE4F-799576866BE8}" type="presParOf" srcId="{E3005515-2258-4CAA-8290-97519C684232}" destId="{C26BD10F-0317-4A4A-9EB6-F9BCBD24E70B}" srcOrd="3" destOrd="0" presId="urn:microsoft.com/office/officeart/2008/layout/VerticalCurvedList"/>
    <dgm:cxn modelId="{4BA71091-7188-4D42-958F-76FA6A49C7FC}" type="presParOf" srcId="{4D21C03A-4A28-47BD-9E92-B7E82E320199}" destId="{B303CC44-C474-4DA7-8125-55AA80F43ADB}" srcOrd="1" destOrd="0" presId="urn:microsoft.com/office/officeart/2008/layout/VerticalCurvedList"/>
    <dgm:cxn modelId="{B8385958-AAB6-4635-9EFE-6AAB291FBD68}" type="presParOf" srcId="{4D21C03A-4A28-47BD-9E92-B7E82E320199}" destId="{FE45D72F-DA6E-415E-9DAF-DB871FBAA4B8}" srcOrd="2" destOrd="0" presId="urn:microsoft.com/office/officeart/2008/layout/VerticalCurvedList"/>
    <dgm:cxn modelId="{95A86F5B-C87D-437D-A081-EB225CBCBF39}" type="presParOf" srcId="{FE45D72F-DA6E-415E-9DAF-DB871FBAA4B8}" destId="{7AF3743A-338A-4130-A6A7-DD7F38604C3D}" srcOrd="0" destOrd="0" presId="urn:microsoft.com/office/officeart/2008/layout/VerticalCurvedList"/>
    <dgm:cxn modelId="{4EAC5704-16F0-4DD3-B09C-8287805985B2}" type="presParOf" srcId="{4D21C03A-4A28-47BD-9E92-B7E82E320199}" destId="{5DD41428-A8D6-4B58-86C6-1510A983DBDB}" srcOrd="3" destOrd="0" presId="urn:microsoft.com/office/officeart/2008/layout/VerticalCurvedList"/>
    <dgm:cxn modelId="{4108E917-4C1D-41BA-A096-D2F313AB61E2}" type="presParOf" srcId="{4D21C03A-4A28-47BD-9E92-B7E82E320199}" destId="{95DDBC25-7A0C-4283-94E8-06D90A98B005}" srcOrd="4" destOrd="0" presId="urn:microsoft.com/office/officeart/2008/layout/VerticalCurvedList"/>
    <dgm:cxn modelId="{4360741E-52F2-4378-8E86-41E7CC311662}" type="presParOf" srcId="{95DDBC25-7A0C-4283-94E8-06D90A98B005}" destId="{95D641F2-67A8-462B-9024-33943121453B}" srcOrd="0" destOrd="0" presId="urn:microsoft.com/office/officeart/2008/layout/VerticalCurvedList"/>
    <dgm:cxn modelId="{3BF61D17-C3CB-401F-A188-4AEFA8E94ACB}" type="presParOf" srcId="{4D21C03A-4A28-47BD-9E92-B7E82E320199}" destId="{660B389E-0DB8-4FA9-9FDB-43DB5E60BE4E}" srcOrd="5" destOrd="0" presId="urn:microsoft.com/office/officeart/2008/layout/VerticalCurvedList"/>
    <dgm:cxn modelId="{89FC025D-0006-48C0-9F70-55506A88EF70}" type="presParOf" srcId="{4D21C03A-4A28-47BD-9E92-B7E82E320199}" destId="{0F663B3A-05B7-42C0-B9BB-38D05E48D851}" srcOrd="6" destOrd="0" presId="urn:microsoft.com/office/officeart/2008/layout/VerticalCurvedList"/>
    <dgm:cxn modelId="{4CE0B7BF-8959-4A04-A35D-80510AC22E15}" type="presParOf" srcId="{0F663B3A-05B7-42C0-B9BB-38D05E48D851}" destId="{22CF95F4-5B3E-40E8-9261-08114C70B1D8}" srcOrd="0" destOrd="0" presId="urn:microsoft.com/office/officeart/2008/layout/VerticalCurvedList"/>
    <dgm:cxn modelId="{D62357E7-DFF3-4CE8-836F-FB84C4A51184}" type="presParOf" srcId="{4D21C03A-4A28-47BD-9E92-B7E82E320199}" destId="{AE7E9392-B037-4210-AE51-35F0FAF12ED1}" srcOrd="7" destOrd="0" presId="urn:microsoft.com/office/officeart/2008/layout/VerticalCurvedList"/>
    <dgm:cxn modelId="{DAB32CA3-474B-46C0-A56D-896E24449303}" type="presParOf" srcId="{4D21C03A-4A28-47BD-9E92-B7E82E320199}" destId="{C08EED60-D092-469E-AFF3-CB6DDDB7A4A2}" srcOrd="8" destOrd="0" presId="urn:microsoft.com/office/officeart/2008/layout/VerticalCurvedList"/>
    <dgm:cxn modelId="{4722A259-A1D7-495D-A55A-B8CA1383627B}" type="presParOf" srcId="{C08EED60-D092-469E-AFF3-CB6DDDB7A4A2}" destId="{537E0B7E-9585-4331-9BE0-54C70E5D76F0}" srcOrd="0" destOrd="0" presId="urn:microsoft.com/office/officeart/2008/layout/VerticalCurvedList"/>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571A4A27-D189-4E68-8D75-66037E325E55}">
      <dsp:nvSpPr>
        <dsp:cNvPr id="0" name=""/>
        <dsp:cNvSpPr/>
      </dsp:nvSpPr>
      <dsp:spPr>
        <a:xfrm>
          <a:off x="-1591621" y="-247915"/>
          <a:ext cx="1905807" cy="1905807"/>
        </a:xfrm>
        <a:prstGeom prst="blockArc">
          <a:avLst>
            <a:gd name="adj1" fmla="val 18900000"/>
            <a:gd name="adj2" fmla="val 2700000"/>
            <a:gd name="adj3" fmla="val 1133"/>
          </a:avLst>
        </a:prstGeom>
        <a:noFill/>
        <a:ln w="1905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303CC44-C474-4DA7-8125-55AA80F43ADB}">
      <dsp:nvSpPr>
        <dsp:cNvPr id="0" name=""/>
        <dsp:cNvSpPr/>
      </dsp:nvSpPr>
      <dsp:spPr>
        <a:xfrm>
          <a:off x="165515" y="108398"/>
          <a:ext cx="1543867" cy="216910"/>
        </a:xfrm>
        <a:prstGeom prst="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72173" tIns="27940" rIns="27940" bIns="27940" numCol="1" spcCol="1270" anchor="ctr" anchorCtr="0">
          <a:noAutofit/>
        </a:bodyPr>
        <a:lstStyle/>
        <a:p>
          <a:pPr marL="0" lvl="0" indent="0" algn="l" defTabSz="488950">
            <a:lnSpc>
              <a:spcPct val="90000"/>
            </a:lnSpc>
            <a:spcBef>
              <a:spcPct val="0"/>
            </a:spcBef>
            <a:spcAft>
              <a:spcPct val="35000"/>
            </a:spcAft>
            <a:buNone/>
          </a:pPr>
          <a:r>
            <a:rPr lang="en-IN" sz="1100" b="1" kern="1200"/>
            <a:t>    Segmentation</a:t>
          </a:r>
        </a:p>
      </dsp:txBody>
      <dsp:txXfrm>
        <a:off x="165515" y="108398"/>
        <a:ext cx="1543867" cy="216910"/>
      </dsp:txXfrm>
    </dsp:sp>
    <dsp:sp modelId="{7AF3743A-338A-4130-A6A7-DD7F38604C3D}">
      <dsp:nvSpPr>
        <dsp:cNvPr id="0" name=""/>
        <dsp:cNvSpPr/>
      </dsp:nvSpPr>
      <dsp:spPr>
        <a:xfrm>
          <a:off x="29946" y="81285"/>
          <a:ext cx="271138" cy="271138"/>
        </a:xfrm>
        <a:prstGeom prst="ellipse">
          <a:avLst/>
        </a:prstGeom>
        <a:solidFill>
          <a:schemeClr val="l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5DD41428-A8D6-4B58-86C6-1510A983DBDB}">
      <dsp:nvSpPr>
        <dsp:cNvPr id="0" name=""/>
        <dsp:cNvSpPr/>
      </dsp:nvSpPr>
      <dsp:spPr>
        <a:xfrm>
          <a:off x="289875" y="433821"/>
          <a:ext cx="1419507" cy="216910"/>
        </a:xfrm>
        <a:prstGeom prst="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72173" tIns="27940" rIns="27940" bIns="27940" numCol="1" spcCol="1270" anchor="ctr" anchorCtr="0">
          <a:noAutofit/>
        </a:bodyPr>
        <a:lstStyle/>
        <a:p>
          <a:pPr marL="0" lvl="0" indent="0" algn="l" defTabSz="488950">
            <a:lnSpc>
              <a:spcPct val="90000"/>
            </a:lnSpc>
            <a:spcBef>
              <a:spcPct val="0"/>
            </a:spcBef>
            <a:spcAft>
              <a:spcPct val="35000"/>
            </a:spcAft>
            <a:buNone/>
          </a:pPr>
          <a:r>
            <a:rPr lang="en-IN" sz="1100" b="1" kern="1200"/>
            <a:t> Spending </a:t>
          </a:r>
        </a:p>
      </dsp:txBody>
      <dsp:txXfrm>
        <a:off x="289875" y="433821"/>
        <a:ext cx="1419507" cy="216910"/>
      </dsp:txXfrm>
    </dsp:sp>
    <dsp:sp modelId="{95D641F2-67A8-462B-9024-33943121453B}">
      <dsp:nvSpPr>
        <dsp:cNvPr id="0" name=""/>
        <dsp:cNvSpPr/>
      </dsp:nvSpPr>
      <dsp:spPr>
        <a:xfrm>
          <a:off x="154306" y="406707"/>
          <a:ext cx="271138" cy="271138"/>
        </a:xfrm>
        <a:prstGeom prst="ellipse">
          <a:avLst/>
        </a:prstGeom>
        <a:solidFill>
          <a:schemeClr val="l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660B389E-0DB8-4FA9-9FDB-43DB5E60BE4E}">
      <dsp:nvSpPr>
        <dsp:cNvPr id="0" name=""/>
        <dsp:cNvSpPr/>
      </dsp:nvSpPr>
      <dsp:spPr>
        <a:xfrm>
          <a:off x="289875" y="759243"/>
          <a:ext cx="1419507" cy="216910"/>
        </a:xfrm>
        <a:prstGeom prst="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72173" tIns="27940" rIns="27940" bIns="27940" numCol="1" spcCol="1270" anchor="ctr" anchorCtr="0">
          <a:noAutofit/>
        </a:bodyPr>
        <a:lstStyle/>
        <a:p>
          <a:pPr marL="0" lvl="0" indent="0" algn="l" defTabSz="488950">
            <a:lnSpc>
              <a:spcPct val="90000"/>
            </a:lnSpc>
            <a:spcBef>
              <a:spcPct val="0"/>
            </a:spcBef>
            <a:spcAft>
              <a:spcPct val="35000"/>
            </a:spcAft>
            <a:buNone/>
          </a:pPr>
          <a:r>
            <a:rPr lang="en-IN" sz="1100" b="1" kern="1200"/>
            <a:t> Engagement</a:t>
          </a:r>
        </a:p>
      </dsp:txBody>
      <dsp:txXfrm>
        <a:off x="289875" y="759243"/>
        <a:ext cx="1419507" cy="216910"/>
      </dsp:txXfrm>
    </dsp:sp>
    <dsp:sp modelId="{22CF95F4-5B3E-40E8-9261-08114C70B1D8}">
      <dsp:nvSpPr>
        <dsp:cNvPr id="0" name=""/>
        <dsp:cNvSpPr/>
      </dsp:nvSpPr>
      <dsp:spPr>
        <a:xfrm>
          <a:off x="154306" y="732130"/>
          <a:ext cx="271138" cy="271138"/>
        </a:xfrm>
        <a:prstGeom prst="ellipse">
          <a:avLst/>
        </a:prstGeom>
        <a:solidFill>
          <a:schemeClr val="l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 modelId="{AE7E9392-B037-4210-AE51-35F0FAF12ED1}">
      <dsp:nvSpPr>
        <dsp:cNvPr id="0" name=""/>
        <dsp:cNvSpPr/>
      </dsp:nvSpPr>
      <dsp:spPr>
        <a:xfrm>
          <a:off x="165515" y="1084666"/>
          <a:ext cx="1543867" cy="216910"/>
        </a:xfrm>
        <a:prstGeom prst="rect">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172173" tIns="27940" rIns="27940" bIns="27940" numCol="1" spcCol="1270" anchor="ctr" anchorCtr="0">
          <a:noAutofit/>
        </a:bodyPr>
        <a:lstStyle/>
        <a:p>
          <a:pPr marL="0" lvl="0" indent="0" algn="l" defTabSz="488950">
            <a:lnSpc>
              <a:spcPct val="90000"/>
            </a:lnSpc>
            <a:spcBef>
              <a:spcPct val="0"/>
            </a:spcBef>
            <a:spcAft>
              <a:spcPct val="35000"/>
            </a:spcAft>
            <a:buNone/>
          </a:pPr>
          <a:r>
            <a:rPr lang="en-IN" sz="1100" b="1" kern="1200"/>
            <a:t>      Insights</a:t>
          </a:r>
        </a:p>
      </dsp:txBody>
      <dsp:txXfrm>
        <a:off x="165515" y="1084666"/>
        <a:ext cx="1543867" cy="216910"/>
      </dsp:txXfrm>
    </dsp:sp>
    <dsp:sp modelId="{537E0B7E-9585-4331-9BE0-54C70E5D76F0}">
      <dsp:nvSpPr>
        <dsp:cNvPr id="0" name=""/>
        <dsp:cNvSpPr/>
      </dsp:nvSpPr>
      <dsp:spPr>
        <a:xfrm>
          <a:off x="29946" y="1057552"/>
          <a:ext cx="271138" cy="271138"/>
        </a:xfrm>
        <a:prstGeom prst="ellipse">
          <a:avLst/>
        </a:prstGeom>
        <a:solidFill>
          <a:schemeClr val="lt1">
            <a:hueOff val="0"/>
            <a:satOff val="0"/>
            <a:lumOff val="0"/>
            <a:alphaOff val="0"/>
          </a:schemeClr>
        </a:solidFill>
        <a:ln w="1905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sp>
  </dsp:spTree>
</dsp:drawing>
</file>

<file path=xl/diagrams/layout1.xml><?xml version="1.0" encoding="utf-8"?>
<dgm:layoutDef xmlns:dgm="http://schemas.openxmlformats.org/drawingml/2006/diagram" xmlns:a="http://schemas.openxmlformats.org/drawingml/2006/main" uniqueId="urn:microsoft.com/office/officeart/2008/layout/VerticalCurvedList">
  <dgm:title val=""/>
  <dgm:desc val=""/>
  <dgm:catLst>
    <dgm:cat type="list" pri="20000"/>
  </dgm:catLst>
  <dgm:sampData>
    <dgm:dataModel>
      <dgm:ptLst>
        <dgm:pt modelId="0" type="doc"/>
        <dgm:pt modelId="1">
          <dgm:prSet phldr="1"/>
        </dgm:pt>
        <dgm:pt modelId="2">
          <dgm:prSet phldr="1"/>
        </dgm:pt>
        <dgm:pt modelId="3">
          <dgm:prSet phldr="1"/>
        </dgm:pt>
      </dgm:ptLst>
      <dgm:cxnLst>
        <dgm:cxn modelId="4" srcId="0" destId="1" srcOrd="0" destOrd="0"/>
        <dgm:cxn modelId="5" srcId="0" destId="2" srcOrd="1" destOrd="0"/>
        <dgm:cxn modelId="6" srcId="0" destId="3" srcOrd="2" destOrd="0"/>
      </dgm:cxnLst>
      <dgm:bg/>
      <dgm:whole/>
    </dgm:dataModel>
  </dgm:sampData>
  <dgm:styleData>
    <dgm:dataModel>
      <dgm:ptLst>
        <dgm:pt modelId="0" type="doc"/>
        <dgm:pt modelId="1">
          <dgm:prSet phldr="1"/>
        </dgm:pt>
        <dgm:pt modelId="2">
          <dgm:prSet phldr="1"/>
        </dgm:pt>
      </dgm:ptLst>
      <dgm:cxnLst>
        <dgm:cxn modelId="3" srcId="0" destId="1" srcOrd="0" destOrd="0"/>
        <dgm:cxn modelId="4" srcId="0" destId="2" srcOrd="1" destOrd="0"/>
      </dgm:cxnLst>
      <dgm:bg/>
      <dgm:whole/>
    </dgm:dataModel>
  </dgm:styleData>
  <dgm:clrData>
    <dgm:dataModel>
      <dgm:ptLst>
        <dgm:pt modelId="0" type="doc"/>
        <dgm:pt modelId="1">
          <dgm:prSet phldr="1"/>
        </dgm:pt>
        <dgm:pt modelId="2">
          <dgm:prSet phldr="1"/>
        </dgm:pt>
        <dgm:pt modelId="3">
          <dgm:prSet phldr="1"/>
        </dgm:pt>
        <dgm:pt modelId="4">
          <dgm:prSet phldr="1"/>
        </dgm:pt>
      </dgm:ptLst>
      <dgm:cxnLst>
        <dgm:cxn modelId="5" srcId="0" destId="1" srcOrd="0" destOrd="0"/>
        <dgm:cxn modelId="6" srcId="0" destId="2" srcOrd="1" destOrd="0"/>
        <dgm:cxn modelId="7" srcId="0" destId="3" srcOrd="2" destOrd="0"/>
        <dgm:cxn modelId="8" srcId="0" destId="4" srcOrd="3" destOrd="0"/>
      </dgm:cxnLst>
      <dgm:bg/>
      <dgm:whole/>
    </dgm:dataModel>
  </dgm:clrData>
  <dgm:layoutNode name="Name0">
    <dgm:varLst>
      <dgm:chMax val="7"/>
      <dgm:chPref val="7"/>
      <dgm:dir/>
    </dgm:varLst>
    <dgm:alg type="composite"/>
    <dgm:shape xmlns:r="http://schemas.openxmlformats.org/officeDocument/2006/relationships" r:blip="">
      <dgm:adjLst/>
    </dgm:shape>
    <dgm:constrLst>
      <dgm:constr type="w" for="ch" refType="h" refFor="ch" op="gte" fact="0.8"/>
    </dgm:constrLst>
    <dgm:layoutNode name="Name1">
      <dgm:alg type="composite"/>
      <dgm:shape xmlns:r="http://schemas.openxmlformats.org/officeDocument/2006/relationships" r:blip="">
        <dgm:adjLst/>
      </dgm:shape>
      <dgm:choose name="Name2">
        <dgm:if name="Name3" func="var" arg="dir" op="equ" val="norm">
          <dgm:choose name="Name4">
            <dgm:if name="Name5" axis="ch" ptType="node" func="cnt" op="equ" val="1">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625"/>
                <dgm:constr type="w" for="ch" forName="accent_1" refType="h" refFor="ch" refForName="accent_1" op="equ"/>
                <dgm:constr type="ctrY" for="ch" forName="accent_1" refType="h" fact="0.5"/>
                <dgm:constr type="ctrX" for="ch" forName="accent_1" refType="h" fact="0.2253"/>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primFontSz" for="ch" ptType="node" op="equ" val="65"/>
              </dgm:constrLst>
            </dgm:if>
            <dgm:if name="Name6" axis="ch" ptType="node" func="cnt" op="equ" val="2">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3571"/>
                <dgm:constr type="w" for="ch" forName="accent_1" refType="h" refFor="ch" refForName="accent_1" op="equ"/>
                <dgm:constr type="ctrY" for="ch" forName="accent_1" refType="h" fact="0.2857"/>
                <dgm:constr type="ctrX" for="ch" forName="accent_1" refType="h" fact="0.1891"/>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3571"/>
                <dgm:constr type="w" for="ch" forName="accent_2" refType="h" refFor="ch" refForName="accent_2" op="equ"/>
                <dgm:constr type="ctrY" for="ch" forName="accent_2" refType="h" fact="0.7143"/>
                <dgm:constr type="ctrX" for="ch" forName="accent_2" refType="h" fact="0.1891"/>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primFontSz" for="ch" ptType="node" op="equ" val="65"/>
              </dgm:constrLst>
            </dgm:if>
            <dgm:if name="Name7" axis="ch" ptType="node" func="cnt" op="equ" val="3">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25"/>
                <dgm:constr type="w" for="ch" forName="accent_1" refType="h" refFor="ch" refForName="accent_1" op="equ"/>
                <dgm:constr type="ctrY" for="ch" forName="accent_1" refType="h" fact="0.2"/>
                <dgm:constr type="ctrX" for="ch" forName="accent_1" refType="h" fact="0.1526"/>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25"/>
                <dgm:constr type="w" for="ch" forName="accent_2" refType="h" refFor="ch" refForName="accent_2" op="equ"/>
                <dgm:constr type="ctrY" for="ch" forName="accent_2" refType="h" fact="0.5"/>
                <dgm:constr type="ctrX" for="ch" forName="accent_2" refType="h" fact="0.2253"/>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25"/>
                <dgm:constr type="w" for="ch" forName="accent_3" refType="h" refFor="ch" refForName="accent_3" op="equ"/>
                <dgm:constr type="ctrY" for="ch" forName="accent_3" refType="h" fact="0.8"/>
                <dgm:constr type="ctrX" for="ch" forName="accent_3" refType="h" fact="0.1526"/>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primFontSz" for="ch" ptType="node" op="equ" val="65"/>
              </dgm:constrLst>
            </dgm:if>
            <dgm:if name="Name8" axis="ch" ptType="node" func="cnt" op="equ" val="4">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923"/>
                <dgm:constr type="w" for="ch" forName="accent_1" refType="h" refFor="ch" refForName="accent_1" op="equ"/>
                <dgm:constr type="ctrY" for="ch" forName="accent_1" refType="h" fact="0.1538"/>
                <dgm:constr type="ctrX" for="ch" forName="accent_1" refType="h" fact="0.1268"/>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923"/>
                <dgm:constr type="w" for="ch" forName="accent_2" refType="h" refFor="ch" refForName="accent_2" op="equ"/>
                <dgm:constr type="ctrY" for="ch" forName="accent_2" refType="h" fact="0.3846"/>
                <dgm:constr type="ctrX" for="ch" forName="accent_2" refType="h" fact="0.215"/>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923"/>
                <dgm:constr type="w" for="ch" forName="accent_3" refType="h" refFor="ch" refForName="accent_3" op="equ"/>
                <dgm:constr type="ctrY" for="ch" forName="accent_3" refType="h" fact="0.6154"/>
                <dgm:constr type="ctrX" for="ch" forName="accent_3" refType="h" fact="0.215"/>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923"/>
                <dgm:constr type="w" for="ch" forName="accent_4" refType="h" refFor="ch" refForName="accent_4" op="equ"/>
                <dgm:constr type="ctrY" for="ch" forName="accent_4" refType="h" fact="0.8462"/>
                <dgm:constr type="ctrX" for="ch" forName="accent_4" refType="h" fact="0.1268"/>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primFontSz" for="ch" ptType="node" op="equ" val="65"/>
              </dgm:constrLst>
            </dgm:if>
            <dgm:if name="Name9" axis="ch" ptType="node" func="cnt" op="equ" val="5">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563"/>
                <dgm:constr type="w" for="ch" forName="accent_1" refType="h" refFor="ch" refForName="accent_1" op="equ"/>
                <dgm:constr type="ctrY" for="ch" forName="accent_1" refType="h" fact="0.125"/>
                <dgm:constr type="ctrX" for="ch" forName="accent_1" refType="h" fact="0.1082"/>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563"/>
                <dgm:constr type="w" for="ch" forName="accent_2" refType="h" refFor="ch" refForName="accent_2" op="equ"/>
                <dgm:constr type="ctrY" for="ch" forName="accent_2" refType="h" fact="0.3125"/>
                <dgm:constr type="ctrX" for="ch" forName="accent_2" refType="h" fact="0.1978"/>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563"/>
                <dgm:constr type="w" for="ch" forName="accent_3" refType="h" refFor="ch" refForName="accent_3" op="equ"/>
                <dgm:constr type="ctrY" for="ch" forName="accent_3" refType="h" fact="0.5"/>
                <dgm:constr type="ctrX" for="ch" forName="accent_3" refType="h" fact="0.2253"/>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563"/>
                <dgm:constr type="w" for="ch" forName="accent_4" refType="h" refFor="ch" refForName="accent_4" op="equ"/>
                <dgm:constr type="ctrY" for="ch" forName="accent_4" refType="h" fact="0.6875"/>
                <dgm:constr type="ctrX" for="ch" forName="accent_4" refType="h" fact="0.1978"/>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563"/>
                <dgm:constr type="w" for="ch" forName="accent_5" refType="h" refFor="ch" refForName="accent_5" op="equ"/>
                <dgm:constr type="ctrY" for="ch" forName="accent_5" refType="h" fact="0.875"/>
                <dgm:constr type="ctrX" for="ch" forName="accent_5" refType="h" fact="0.1082"/>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primFontSz" for="ch" ptType="node" op="equ" val="65"/>
              </dgm:constrLst>
            </dgm:if>
            <dgm:if name="Name10" axis="ch" ptType="node" func="cnt" op="equ" val="6">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316"/>
                <dgm:constr type="w" for="ch" forName="accent_1" refType="h" refFor="ch" refForName="accent_1" op="equ"/>
                <dgm:constr type="ctrY" for="ch" forName="accent_1" refType="h" fact="0.1053"/>
                <dgm:constr type="ctrX" for="ch" forName="accent_1" refType="h" fact="0.0943"/>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316"/>
                <dgm:constr type="w" for="ch" forName="accent_2" refType="h" refFor="ch" refForName="accent_2" op="equ"/>
                <dgm:constr type="ctrY" for="ch" forName="accent_2" refType="h" fact="0.2632"/>
                <dgm:constr type="ctrX" for="ch" forName="accent_2" refType="h" fact="0.1809"/>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316"/>
                <dgm:constr type="w" for="ch" forName="accent_3" refType="h" refFor="ch" refForName="accent_3" op="equ"/>
                <dgm:constr type="ctrY" for="ch" forName="accent_3" refType="h" fact="0.4211"/>
                <dgm:constr type="ctrX" for="ch" forName="accent_3" refType="h" fact="0.2205"/>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316"/>
                <dgm:constr type="w" for="ch" forName="accent_4" refType="h" refFor="ch" refForName="accent_4" op="equ"/>
                <dgm:constr type="ctrY" for="ch" forName="accent_4" refType="h" fact="0.5789"/>
                <dgm:constr type="ctrX" for="ch" forName="accent_4" refType="h" fact="0.2205"/>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316"/>
                <dgm:constr type="w" for="ch" forName="accent_5" refType="h" refFor="ch" refForName="accent_5" op="equ"/>
                <dgm:constr type="ctrY" for="ch" forName="accent_5" refType="h" fact="0.7368"/>
                <dgm:constr type="ctrX" for="ch" forName="accent_5" refType="h" fact="0.1809"/>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h" for="ch" forName="accent_6" refType="h" fact="0.1316"/>
                <dgm:constr type="w" for="ch" forName="accent_6" refType="h" refFor="ch" refForName="accent_6" op="equ"/>
                <dgm:constr type="ctrY" for="ch" forName="accent_6" refType="h" fact="0.8947"/>
                <dgm:constr type="ctrX" for="ch" forName="accent_6" refType="h" fact="0.0943"/>
                <dgm:constr type="l" for="ch" forName="text_6" refType="ctrX" refFor="ch" refForName="accent_6"/>
                <dgm:constr type="r" for="ch" forName="text_6" refType="w"/>
                <dgm:constr type="w" for="ch" forName="text_6" refType="h" refFor="ch" refForName="text_6" op="gte"/>
                <dgm:constr type="h" for="ch" forName="text_6" refType="h" refFor="ch" refForName="accent_6" fact="0.8"/>
                <dgm:constr type="ctrY" for="ch" forName="text_6" refType="ctrY" refFor="ch" refForName="accent_6"/>
                <dgm:constr type="lMarg" for="ch" forName="text_6" refType="w" refFor="ch" refForName="accent_6" fact="1.8"/>
                <dgm:constr type="primFontSz" for="ch" ptType="node" op="equ" val="65"/>
              </dgm:constrLst>
            </dgm:if>
            <dgm:else name="Name11">
              <dgm:constrLst>
                <dgm:constr type="h" for="ch" forName="cycle" refType="h"/>
                <dgm:constr type="w" for="ch" forName="cycle" refType="h" refFor="ch" refForName="cycle" fact="0.26"/>
                <dgm:constr type="l" for="ch" forName="cycle"/>
                <dgm:constr type="ctrY" for="ch" forName="cycle" refType="h" fact="0.5"/>
                <dgm:constr type="diam" for="ch" forName="cycle" refType="h" fact="1.344"/>
                <dgm:constr type="h" for="ch" forName="accent_1" refType="h" fact="0.1136"/>
                <dgm:constr type="w" for="ch" forName="accent_1" refType="h" refFor="ch" refForName="accent_1" op="equ"/>
                <dgm:constr type="ctrY" for="ch" forName="accent_1" refType="h" fact="0.0909"/>
                <dgm:constr type="ctrX" for="ch" forName="accent_1" refType="h" fact="0.0835"/>
                <dgm:constr type="l" for="ch" forName="text_1" refType="ctrX" refFor="ch" refForName="accent_1"/>
                <dgm:constr type="r" for="ch" forName="text_1" refType="w"/>
                <dgm:constr type="w" for="ch" forName="text_1" refType="h" refFor="ch" refForName="text_1" op="gte"/>
                <dgm:constr type="h" for="ch" forName="text_1" refType="h" refFor="ch" refForName="accent_1" fact="0.8"/>
                <dgm:constr type="ctrY" for="ch" forName="text_1" refType="ctrY" refFor="ch" refForName="accent_1"/>
                <dgm:constr type="lMarg" for="ch" forName="text_1" refType="w" refFor="ch" refForName="accent_1" fact="1.8"/>
                <dgm:constr type="h" for="ch" forName="accent_2" refType="h" fact="0.1136"/>
                <dgm:constr type="w" for="ch" forName="accent_2" refType="h" refFor="ch" refForName="accent_2" op="equ"/>
                <dgm:constr type="ctrY" for="ch" forName="accent_2" refType="h" fact="0.2273"/>
                <dgm:constr type="ctrX" for="ch" forName="accent_2" refType="h" fact="0.1658"/>
                <dgm:constr type="l" for="ch" forName="text_2" refType="ctrX" refFor="ch" refForName="accent_2"/>
                <dgm:constr type="r" for="ch" forName="text_2" refType="w"/>
                <dgm:constr type="w" for="ch" forName="text_2" refType="h" refFor="ch" refForName="text_2" op="gte"/>
                <dgm:constr type="h" for="ch" forName="text_2" refType="h" refFor="ch" refForName="accent_2" fact="0.8"/>
                <dgm:constr type="ctrY" for="ch" forName="text_2" refType="ctrY" refFor="ch" refForName="accent_2"/>
                <dgm:constr type="lMarg" for="ch" forName="text_2" refType="w" refFor="ch" refForName="accent_2" fact="1.8"/>
                <dgm:constr type="h" for="ch" forName="accent_3" refType="h" fact="0.1136"/>
                <dgm:constr type="w" for="ch" forName="accent_3" refType="h" refFor="ch" refForName="accent_3" op="equ"/>
                <dgm:constr type="ctrY" for="ch" forName="accent_3" refType="h" fact="0.3636"/>
                <dgm:constr type="ctrX" for="ch" forName="accent_3" refType="h" fact="0.2109"/>
                <dgm:constr type="l" for="ch" forName="text_3" refType="ctrX" refFor="ch" refForName="accent_3"/>
                <dgm:constr type="r" for="ch" forName="text_3" refType="w"/>
                <dgm:constr type="w" for="ch" forName="text_3" refType="h" refFor="ch" refForName="text_3" op="gte"/>
                <dgm:constr type="h" for="ch" forName="text_3" refType="h" refFor="ch" refForName="accent_3" fact="0.8"/>
                <dgm:constr type="ctrY" for="ch" forName="text_3" refType="ctrY" refFor="ch" refForName="accent_3"/>
                <dgm:constr type="lMarg" for="ch" forName="text_3" refType="w" refFor="ch" refForName="accent_3" fact="1.8"/>
                <dgm:constr type="h" for="ch" forName="accent_4" refType="h" fact="0.1136"/>
                <dgm:constr type="w" for="ch" forName="accent_4" refType="h" refFor="ch" refForName="accent_4" op="equ"/>
                <dgm:constr type="ctrY" for="ch" forName="accent_4" refType="h" fact="0.5"/>
                <dgm:constr type="ctrX" for="ch" forName="accent_4" refType="h" fact="0.2253"/>
                <dgm:constr type="l" for="ch" forName="text_4" refType="ctrX" refFor="ch" refForName="accent_4"/>
                <dgm:constr type="r" for="ch" forName="text_4" refType="w"/>
                <dgm:constr type="w" for="ch" forName="text_4" refType="h" refFor="ch" refForName="text_4" op="gte"/>
                <dgm:constr type="h" for="ch" forName="text_4" refType="h" refFor="ch" refForName="accent_4" fact="0.8"/>
                <dgm:constr type="ctrY" for="ch" forName="text_4" refType="ctrY" refFor="ch" refForName="accent_4"/>
                <dgm:constr type="lMarg" for="ch" forName="text_4" refType="w" refFor="ch" refForName="accent_4" fact="1.8"/>
                <dgm:constr type="h" for="ch" forName="accent_5" refType="h" fact="0.1136"/>
                <dgm:constr type="w" for="ch" forName="accent_5" refType="h" refFor="ch" refForName="accent_5" op="equ"/>
                <dgm:constr type="ctrY" for="ch" forName="accent_5" refType="h" fact="0.6364"/>
                <dgm:constr type="ctrX" for="ch" forName="accent_5" refType="h" fact="0.2109"/>
                <dgm:constr type="l" for="ch" forName="text_5" refType="ctrX" refFor="ch" refForName="accent_5"/>
                <dgm:constr type="r" for="ch" forName="text_5" refType="w"/>
                <dgm:constr type="w" for="ch" forName="text_5" refType="h" refFor="ch" refForName="text_5" op="gte"/>
                <dgm:constr type="h" for="ch" forName="text_5" refType="h" refFor="ch" refForName="accent_5" fact="0.8"/>
                <dgm:constr type="ctrY" for="ch" forName="text_5" refType="ctrY" refFor="ch" refForName="accent_5"/>
                <dgm:constr type="lMarg" for="ch" forName="text_5" refType="w" refFor="ch" refForName="accent_5" fact="1.8"/>
                <dgm:constr type="h" for="ch" forName="accent_6" refType="h" fact="0.1136"/>
                <dgm:constr type="w" for="ch" forName="accent_6" refType="h" refFor="ch" refForName="accent_6" op="equ"/>
                <dgm:constr type="ctrY" for="ch" forName="accent_6" refType="h" fact="0.7727"/>
                <dgm:constr type="ctrX" for="ch" forName="accent_6" refType="h" fact="0.1658"/>
                <dgm:constr type="l" for="ch" forName="text_6" refType="ctrX" refFor="ch" refForName="accent_6"/>
                <dgm:constr type="r" for="ch" forName="text_6" refType="w"/>
                <dgm:constr type="w" for="ch" forName="text_6" refType="h" refFor="ch" refForName="text_6" op="gte"/>
                <dgm:constr type="h" for="ch" forName="text_6" refType="h" refFor="ch" refForName="accent_6" fact="0.8"/>
                <dgm:constr type="ctrY" for="ch" forName="text_6" refType="ctrY" refFor="ch" refForName="accent_6"/>
                <dgm:constr type="lMarg" for="ch" forName="text_6" refType="w" refFor="ch" refForName="accent_6" fact="1.8"/>
                <dgm:constr type="h" for="ch" forName="accent_7" refType="h" fact="0.1136"/>
                <dgm:constr type="w" for="ch" forName="accent_7" refType="h" refFor="ch" refForName="accent_7" op="equ"/>
                <dgm:constr type="ctrY" for="ch" forName="accent_7" refType="h" fact="0.9091"/>
                <dgm:constr type="ctrX" for="ch" forName="accent_7" refType="h" fact="0.0835"/>
                <dgm:constr type="l" for="ch" forName="text_7" refType="ctrX" refFor="ch" refForName="accent_7"/>
                <dgm:constr type="r" for="ch" forName="text_7" refType="w"/>
                <dgm:constr type="w" for="ch" forName="text_7" refType="h" refFor="ch" refForName="text_7" op="gte"/>
                <dgm:constr type="h" for="ch" forName="text_7" refType="h" refFor="ch" refForName="accent_7" fact="0.8"/>
                <dgm:constr type="ctrY" for="ch" forName="text_7" refType="ctrY" refFor="ch" refForName="accent_7"/>
                <dgm:constr type="lMarg" for="ch" forName="text_7" refType="w" refFor="ch" refForName="accent_7" fact="1.8"/>
                <dgm:constr type="primFontSz" for="ch" ptType="node" op="equ" val="65"/>
              </dgm:constrLst>
            </dgm:else>
          </dgm:choose>
        </dgm:if>
        <dgm:else name="Name12">
          <dgm:choose name="Name13">
            <dgm:if name="Name14" axis="ch" ptType="node" func="cnt" op="equ" val="1">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625"/>
                <dgm:constr type="w" for="ch" forName="accent_1" refType="h" refFor="ch" refForName="accent_1" op="equ"/>
                <dgm:constr type="ctrY" for="ch" forName="accent_1" refType="h" fact="0.5"/>
                <dgm:constr type="ctrX" for="ch" forName="accent_1" refType="w"/>
                <dgm:constr type="ctrXOff" for="ch" forName="accent_1" refType="h" fact="-0.2253"/>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primFontSz" for="ch" ptType="node" op="equ" val="65"/>
              </dgm:constrLst>
            </dgm:if>
            <dgm:if name="Name15" axis="ch" ptType="node" func="cnt" op="equ" val="2">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3571"/>
                <dgm:constr type="w" for="ch" forName="accent_1" refType="h" refFor="ch" refForName="accent_1" op="equ"/>
                <dgm:constr type="ctrY" for="ch" forName="accent_1" refType="h" fact="0.2857"/>
                <dgm:constr type="ctrX" for="ch" forName="accent_1" refType="w"/>
                <dgm:constr type="ctrXOff" for="ch" forName="accent_1" refType="h" fact="-0.1891"/>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3571"/>
                <dgm:constr type="w" for="ch" forName="accent_2" refType="h" refFor="ch" refForName="accent_2" op="equ"/>
                <dgm:constr type="ctrY" for="ch" forName="accent_2" refType="h" fact="0.7143"/>
                <dgm:constr type="ctrX" for="ch" forName="accent_2" refType="w"/>
                <dgm:constr type="ctrXOff" for="ch" forName="accent_2" refType="h" fact="-0.1891"/>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primFontSz" for="ch" ptType="node" op="equ" val="65"/>
              </dgm:constrLst>
            </dgm:if>
            <dgm:if name="Name16" axis="ch" ptType="node" func="cnt" op="equ" val="3">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25"/>
                <dgm:constr type="w" for="ch" forName="accent_1" refType="h" refFor="ch" refForName="accent_1" op="equ"/>
                <dgm:constr type="ctrY" for="ch" forName="accent_1" refType="h" fact="0.2"/>
                <dgm:constr type="ctrX" for="ch" forName="accent_1" refType="w"/>
                <dgm:constr type="ctrXOff" for="ch" forName="accent_1" refType="h" fact="-0.1526"/>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25"/>
                <dgm:constr type="w" for="ch" forName="accent_2" refType="h" refFor="ch" refForName="accent_2" op="equ"/>
                <dgm:constr type="ctrY" for="ch" forName="accent_2" refType="h" fact="0.5"/>
                <dgm:constr type="ctrX" for="ch" forName="accent_2" refType="w"/>
                <dgm:constr type="ctrXOff" for="ch" forName="accent_2" refType="h" fact="-0.2253"/>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25"/>
                <dgm:constr type="w" for="ch" forName="accent_3" refType="h" refFor="ch" refForName="accent_3" op="equ"/>
                <dgm:constr type="ctrY" for="ch" forName="accent_3" refType="h" fact="0.8"/>
                <dgm:constr type="ctrX" for="ch" forName="accent_3" refType="w"/>
                <dgm:constr type="ctrXOff" for="ch" forName="accent_3" refType="h" fact="-0.1526"/>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primFontSz" for="ch" ptType="node" op="equ" val="65"/>
              </dgm:constrLst>
            </dgm:if>
            <dgm:if name="Name17" axis="ch" ptType="node" func="cnt" op="equ" val="4">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923"/>
                <dgm:constr type="w" for="ch" forName="accent_1" refType="h" refFor="ch" refForName="accent_1" op="equ"/>
                <dgm:constr type="ctrY" for="ch" forName="accent_1" refType="h" fact="0.1538"/>
                <dgm:constr type="ctrX" for="ch" forName="accent_1" refType="w"/>
                <dgm:constr type="ctrXOff" for="ch" forName="accent_1" refType="h" fact="-0.1268"/>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923"/>
                <dgm:constr type="w" for="ch" forName="accent_2" refType="h" refFor="ch" refForName="accent_2" op="equ"/>
                <dgm:constr type="ctrY" for="ch" forName="accent_2" refType="h" fact="0.3846"/>
                <dgm:constr type="ctrX" for="ch" forName="accent_2" refType="w"/>
                <dgm:constr type="ctrXOff" for="ch" forName="accent_2" refType="h" fact="-0.215"/>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923"/>
                <dgm:constr type="w" for="ch" forName="accent_3" refType="h" refFor="ch" refForName="accent_3" op="equ"/>
                <dgm:constr type="ctrY" for="ch" forName="accent_3" refType="h" fact="0.6154"/>
                <dgm:constr type="ctrX" for="ch" forName="accent_3" refType="w"/>
                <dgm:constr type="ctrXOff" for="ch" forName="accent_3" refType="h" fact="-0.215"/>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923"/>
                <dgm:constr type="w" for="ch" forName="accent_4" refType="h" refFor="ch" refForName="accent_4" op="equ"/>
                <dgm:constr type="ctrY" for="ch" forName="accent_4" refType="h" fact="0.8462"/>
                <dgm:constr type="ctrX" for="ch" forName="accent_4" refType="w"/>
                <dgm:constr type="ctrXOff" for="ch" forName="accent_4" refType="h" fact="-0.1268"/>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primFontSz" for="ch" ptType="node" op="equ" val="65"/>
              </dgm:constrLst>
            </dgm:if>
            <dgm:if name="Name18" axis="ch" ptType="node" func="cnt" op="equ" val="5">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563"/>
                <dgm:constr type="w" for="ch" forName="accent_1" refType="h" refFor="ch" refForName="accent_1" op="equ"/>
                <dgm:constr type="ctrY" for="ch" forName="accent_1" refType="h" fact="0.125"/>
                <dgm:constr type="ctrX" for="ch" forName="accent_1" refType="w"/>
                <dgm:constr type="ctrXOff" for="ch" forName="accent_1" refType="h" fact="-0.1082"/>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563"/>
                <dgm:constr type="w" for="ch" forName="accent_2" refType="h" refFor="ch" refForName="accent_2" op="equ"/>
                <dgm:constr type="ctrY" for="ch" forName="accent_2" refType="h" fact="0.3125"/>
                <dgm:constr type="ctrX" for="ch" forName="accent_2" refType="w"/>
                <dgm:constr type="ctrXOff" for="ch" forName="accent_2" refType="h" fact="-0.1978"/>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563"/>
                <dgm:constr type="w" for="ch" forName="accent_3" refType="h" refFor="ch" refForName="accent_3" op="equ"/>
                <dgm:constr type="ctrY" for="ch" forName="accent_3" refType="h" fact="0.5"/>
                <dgm:constr type="ctrX" for="ch" forName="accent_3" refType="w"/>
                <dgm:constr type="ctrXOff" for="ch" forName="accent_3" refType="h" fact="-0.2253"/>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563"/>
                <dgm:constr type="w" for="ch" forName="accent_4" refType="h" refFor="ch" refForName="accent_4" op="equ"/>
                <dgm:constr type="ctrY" for="ch" forName="accent_4" refType="h" fact="0.6875"/>
                <dgm:constr type="ctrX" for="ch" forName="accent_4" refType="w"/>
                <dgm:constr type="ctrXOff" for="ch" forName="accent_4" refType="h" fact="-0.1978"/>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563"/>
                <dgm:constr type="w" for="ch" forName="accent_5" refType="h" refFor="ch" refForName="accent_5" op="equ"/>
                <dgm:constr type="ctrY" for="ch" forName="accent_5" refType="h" fact="0.875"/>
                <dgm:constr type="ctrX" for="ch" forName="accent_5" refType="w"/>
                <dgm:constr type="ctrXOff" for="ch" forName="accent_5" refType="h" fact="-0.1082"/>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primFontSz" for="ch" ptType="node" op="equ" val="65"/>
              </dgm:constrLst>
            </dgm:if>
            <dgm:if name="Name19" axis="ch" ptType="node" func="cnt" op="equ" val="6">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316"/>
                <dgm:constr type="w" for="ch" forName="accent_1" refType="h" refFor="ch" refForName="accent_1" op="equ"/>
                <dgm:constr type="ctrY" for="ch" forName="accent_1" refType="h" fact="0.1053"/>
                <dgm:constr type="ctrX" for="ch" forName="accent_1" refType="w"/>
                <dgm:constr type="ctrXOff" for="ch" forName="accent_1" refType="h" fact="-0.0943"/>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316"/>
                <dgm:constr type="w" for="ch" forName="accent_2" refType="h" refFor="ch" refForName="accent_2" op="equ"/>
                <dgm:constr type="ctrY" for="ch" forName="accent_2" refType="h" fact="0.2632"/>
                <dgm:constr type="ctrX" for="ch" forName="accent_2" refType="w"/>
                <dgm:constr type="ctrXOff" for="ch" forName="accent_2" refType="h" fact="-0.1809"/>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316"/>
                <dgm:constr type="w" for="ch" forName="accent_3" refType="h" refFor="ch" refForName="accent_3" op="equ"/>
                <dgm:constr type="ctrY" for="ch" forName="accent_3" refType="h" fact="0.4211"/>
                <dgm:constr type="ctrX" for="ch" forName="accent_3" refType="w"/>
                <dgm:constr type="ctrXOff" for="ch" forName="accent_3" refType="h" fact="-0.2205"/>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316"/>
                <dgm:constr type="w" for="ch" forName="accent_4" refType="h" refFor="ch" refForName="accent_4" op="equ"/>
                <dgm:constr type="ctrY" for="ch" forName="accent_4" refType="h" fact="0.5789"/>
                <dgm:constr type="ctrX" for="ch" forName="accent_4" refType="w"/>
                <dgm:constr type="ctrXOff" for="ch" forName="accent_4" refType="h" fact="-0.2205"/>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316"/>
                <dgm:constr type="w" for="ch" forName="accent_5" refType="h" refFor="ch" refForName="accent_5" op="equ"/>
                <dgm:constr type="ctrY" for="ch" forName="accent_5" refType="h" fact="0.7368"/>
                <dgm:constr type="ctrX" for="ch" forName="accent_5" refType="w"/>
                <dgm:constr type="ctrXOff" for="ch" forName="accent_5" refType="h" fact="-0.1809"/>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h" for="ch" forName="accent_6" refType="h" fact="0.1316"/>
                <dgm:constr type="w" for="ch" forName="accent_6" refType="h" refFor="ch" refForName="accent_6" op="equ"/>
                <dgm:constr type="ctrY" for="ch" forName="accent_6" refType="h" fact="0.8947"/>
                <dgm:constr type="ctrX" for="ch" forName="accent_6" refType="w"/>
                <dgm:constr type="ctrXOff" for="ch" forName="accent_6" refType="h" fact="-0.0943"/>
                <dgm:constr type="r" for="ch" forName="text_6" refType="ctrX" refFor="ch" refForName="accent_6"/>
                <dgm:constr type="rOff" for="ch" forName="text_6" refType="ctrXOff" refFor="ch" refForName="accent_6"/>
                <dgm:constr type="l" for="ch" forName="text_6"/>
                <dgm:constr type="w" for="ch" forName="text_6" refType="h" refFor="ch" refForName="text_6" op="gte"/>
                <dgm:constr type="h" for="ch" forName="text_6" refType="h" refFor="ch" refForName="accent_6" fact="0.8"/>
                <dgm:constr type="ctrY" for="ch" forName="text_6" refType="ctrY" refFor="ch" refForName="accent_6"/>
                <dgm:constr type="rMarg" for="ch" forName="text_6" refType="w" refFor="ch" refForName="accent_6" fact="1.8"/>
                <dgm:constr type="primFontSz" for="ch" ptType="node" op="equ" val="65"/>
              </dgm:constrLst>
            </dgm:if>
            <dgm:else name="Name20">
              <dgm:constrLst>
                <dgm:constr type="h" for="ch" forName="cycle" refType="h"/>
                <dgm:constr type="w" for="ch" forName="cycle" refType="h" refFor="ch" refForName="cycle" fact="0.26"/>
                <dgm:constr type="r" for="ch" forName="cycle" refType="w"/>
                <dgm:constr type="ctrY" for="ch" forName="cycle" refType="h" fact="0.5"/>
                <dgm:constr type="diam" for="ch" forName="cycle" refType="h" fact="1.344"/>
                <dgm:constr type="h" for="ch" forName="accent_1" refType="h" fact="0.1136"/>
                <dgm:constr type="w" for="ch" forName="accent_1" refType="h" refFor="ch" refForName="accent_1" op="equ"/>
                <dgm:constr type="ctrY" for="ch" forName="accent_1" refType="h" fact="0.0909"/>
                <dgm:constr type="ctrX" for="ch" forName="accent_1" refType="w"/>
                <dgm:constr type="ctrXOff" for="ch" forName="accent_1" refType="h" fact="-0.0835"/>
                <dgm:constr type="r" for="ch" forName="text_1" refType="ctrX" refFor="ch" refForName="accent_1"/>
                <dgm:constr type="rOff" for="ch" forName="text_1" refType="ctrXOff" refFor="ch" refForName="accent_1"/>
                <dgm:constr type="l" for="ch" forName="text_1"/>
                <dgm:constr type="w" for="ch" forName="text_1" refType="h" refFor="ch" refForName="text_1" op="gte"/>
                <dgm:constr type="h" for="ch" forName="text_1" refType="h" refFor="ch" refForName="accent_1" fact="0.8"/>
                <dgm:constr type="ctrY" for="ch" forName="text_1" refType="ctrY" refFor="ch" refForName="accent_1"/>
                <dgm:constr type="rMarg" for="ch" forName="text_1" refType="w" refFor="ch" refForName="accent_1" fact="1.8"/>
                <dgm:constr type="h" for="ch" forName="accent_2" refType="h" fact="0.1136"/>
                <dgm:constr type="w" for="ch" forName="accent_2" refType="h" refFor="ch" refForName="accent_2" op="equ"/>
                <dgm:constr type="ctrY" for="ch" forName="accent_2" refType="h" fact="0.2273"/>
                <dgm:constr type="ctrX" for="ch" forName="accent_2" refType="w"/>
                <dgm:constr type="ctrXOff" for="ch" forName="accent_2" refType="h" fact="-0.1658"/>
                <dgm:constr type="r" for="ch" forName="text_2" refType="ctrX" refFor="ch" refForName="accent_2"/>
                <dgm:constr type="rOff" for="ch" forName="text_2" refType="ctrXOff" refFor="ch" refForName="accent_2"/>
                <dgm:constr type="l" for="ch" forName="text_2"/>
                <dgm:constr type="w" for="ch" forName="text_2" refType="h" refFor="ch" refForName="text_2" op="gte"/>
                <dgm:constr type="h" for="ch" forName="text_2" refType="h" refFor="ch" refForName="accent_2" fact="0.8"/>
                <dgm:constr type="ctrY" for="ch" forName="text_2" refType="ctrY" refFor="ch" refForName="accent_2"/>
                <dgm:constr type="rMarg" for="ch" forName="text_2" refType="w" refFor="ch" refForName="accent_2" fact="1.8"/>
                <dgm:constr type="h" for="ch" forName="accent_3" refType="h" fact="0.1136"/>
                <dgm:constr type="w" for="ch" forName="accent_3" refType="h" refFor="ch" refForName="accent_3" op="equ"/>
                <dgm:constr type="ctrY" for="ch" forName="accent_3" refType="h" fact="0.3636"/>
                <dgm:constr type="ctrX" for="ch" forName="accent_3" refType="w"/>
                <dgm:constr type="ctrXOff" for="ch" forName="accent_3" refType="h" fact="-0.2109"/>
                <dgm:constr type="r" for="ch" forName="text_3" refType="ctrX" refFor="ch" refForName="accent_3"/>
                <dgm:constr type="rOff" for="ch" forName="text_3" refType="ctrXOff" refFor="ch" refForName="accent_3"/>
                <dgm:constr type="l" for="ch" forName="text_3"/>
                <dgm:constr type="w" for="ch" forName="text_3" refType="h" refFor="ch" refForName="text_3" op="gte"/>
                <dgm:constr type="h" for="ch" forName="text_3" refType="h" refFor="ch" refForName="accent_3" fact="0.8"/>
                <dgm:constr type="ctrY" for="ch" forName="text_3" refType="ctrY" refFor="ch" refForName="accent_3"/>
                <dgm:constr type="rMarg" for="ch" forName="text_3" refType="w" refFor="ch" refForName="accent_3" fact="1.8"/>
                <dgm:constr type="h" for="ch" forName="accent_4" refType="h" fact="0.1136"/>
                <dgm:constr type="w" for="ch" forName="accent_4" refType="h" refFor="ch" refForName="accent_4" op="equ"/>
                <dgm:constr type="ctrY" for="ch" forName="accent_4" refType="h" fact="0.5"/>
                <dgm:constr type="ctrX" for="ch" forName="accent_4" refType="w"/>
                <dgm:constr type="ctrXOff" for="ch" forName="accent_4" refType="h" fact="-0.2253"/>
                <dgm:constr type="r" for="ch" forName="text_4" refType="ctrX" refFor="ch" refForName="accent_4"/>
                <dgm:constr type="rOff" for="ch" forName="text_4" refType="ctrXOff" refFor="ch" refForName="accent_4"/>
                <dgm:constr type="l" for="ch" forName="text_4"/>
                <dgm:constr type="w" for="ch" forName="text_4" refType="h" refFor="ch" refForName="text_4" op="gte"/>
                <dgm:constr type="h" for="ch" forName="text_4" refType="h" refFor="ch" refForName="accent_4" fact="0.8"/>
                <dgm:constr type="ctrY" for="ch" forName="text_4" refType="ctrY" refFor="ch" refForName="accent_4"/>
                <dgm:constr type="rMarg" for="ch" forName="text_4" refType="w" refFor="ch" refForName="accent_4" fact="1.8"/>
                <dgm:constr type="h" for="ch" forName="accent_5" refType="h" fact="0.1136"/>
                <dgm:constr type="w" for="ch" forName="accent_5" refType="h" refFor="ch" refForName="accent_5" op="equ"/>
                <dgm:constr type="ctrY" for="ch" forName="accent_5" refType="h" fact="0.6364"/>
                <dgm:constr type="ctrX" for="ch" forName="accent_5" refType="w"/>
                <dgm:constr type="ctrXOff" for="ch" forName="accent_5" refType="h" fact="-0.2109"/>
                <dgm:constr type="r" for="ch" forName="text_5" refType="ctrX" refFor="ch" refForName="accent_5"/>
                <dgm:constr type="rOff" for="ch" forName="text_5" refType="ctrXOff" refFor="ch" refForName="accent_5"/>
                <dgm:constr type="l" for="ch" forName="text_5"/>
                <dgm:constr type="w" for="ch" forName="text_5" refType="h" refFor="ch" refForName="text_5" op="gte"/>
                <dgm:constr type="h" for="ch" forName="text_5" refType="h" refFor="ch" refForName="accent_5" fact="0.8"/>
                <dgm:constr type="ctrY" for="ch" forName="text_5" refType="ctrY" refFor="ch" refForName="accent_5"/>
                <dgm:constr type="rMarg" for="ch" forName="text_5" refType="w" refFor="ch" refForName="accent_5" fact="1.8"/>
                <dgm:constr type="h" for="ch" forName="accent_6" refType="h" fact="0.1136"/>
                <dgm:constr type="w" for="ch" forName="accent_6" refType="h" refFor="ch" refForName="accent_6" op="equ"/>
                <dgm:constr type="ctrY" for="ch" forName="accent_6" refType="h" fact="0.7727"/>
                <dgm:constr type="ctrX" for="ch" forName="accent_6" refType="w"/>
                <dgm:constr type="ctrXOff" for="ch" forName="accent_6" refType="h" fact="-0.1658"/>
                <dgm:constr type="r" for="ch" forName="text_6" refType="ctrX" refFor="ch" refForName="accent_6"/>
                <dgm:constr type="rOff" for="ch" forName="text_6" refType="ctrXOff" refFor="ch" refForName="accent_6"/>
                <dgm:constr type="l" for="ch" forName="text_6"/>
                <dgm:constr type="w" for="ch" forName="text_6" refType="h" refFor="ch" refForName="text_6" op="gte"/>
                <dgm:constr type="h" for="ch" forName="text_6" refType="h" refFor="ch" refForName="accent_6" fact="0.8"/>
                <dgm:constr type="ctrY" for="ch" forName="text_6" refType="ctrY" refFor="ch" refForName="accent_6"/>
                <dgm:constr type="rMarg" for="ch" forName="text_6" refType="w" refFor="ch" refForName="accent_6" fact="1.8"/>
                <dgm:constr type="h" for="ch" forName="accent_7" refType="h" fact="0.1136"/>
                <dgm:constr type="w" for="ch" forName="accent_7" refType="h" refFor="ch" refForName="accent_7" op="equ"/>
                <dgm:constr type="ctrY" for="ch" forName="accent_7" refType="h" fact="0.9091"/>
                <dgm:constr type="ctrX" for="ch" forName="accent_7" refType="w"/>
                <dgm:constr type="ctrXOff" for="ch" forName="accent_7" refType="h" fact="-0.0835"/>
                <dgm:constr type="r" for="ch" forName="text_7" refType="ctrX" refFor="ch" refForName="accent_7"/>
                <dgm:constr type="rOff" for="ch" forName="text_7" refType="ctrXOff" refFor="ch" refForName="accent_7"/>
                <dgm:constr type="l" for="ch" forName="text_7"/>
                <dgm:constr type="w" for="ch" forName="text_7" refType="h" refFor="ch" refForName="text_7" op="gte"/>
                <dgm:constr type="h" for="ch" forName="text_7" refType="h" refFor="ch" refForName="accent_7" fact="0.8"/>
                <dgm:constr type="ctrY" for="ch" forName="text_7" refType="ctrY" refFor="ch" refForName="accent_7"/>
                <dgm:constr type="rMarg" for="ch" forName="text_7" refType="w" refFor="ch" refForName="accent_7" fact="1.8"/>
                <dgm:constr type="primFontSz" for="ch" ptType="node" op="equ" val="65"/>
              </dgm:constrLst>
            </dgm:else>
          </dgm:choose>
        </dgm:else>
      </dgm:choose>
      <dgm:layoutNode name="cycle">
        <dgm:choose name="Name21">
          <dgm:if name="Name22" func="var" arg="dir" op="equ" val="norm">
            <dgm:alg type="cycle">
              <dgm:param type="stAng" val="45"/>
              <dgm:param type="spanAng" val="90"/>
            </dgm:alg>
          </dgm:if>
          <dgm:else name="Name23">
            <dgm:alg type="cycle">
              <dgm:param type="stAng" val="225"/>
              <dgm:param type="spanAng" val="90"/>
            </dgm:alg>
          </dgm:else>
        </dgm:choose>
        <dgm:shape xmlns:r="http://schemas.openxmlformats.org/officeDocument/2006/relationships" r:blip="">
          <dgm:adjLst/>
        </dgm:shape>
        <dgm:presOf/>
        <dgm:constrLst>
          <dgm:constr type="w" for="ch" val="1"/>
          <dgm:constr type="h" for="ch" val="1"/>
          <dgm:constr type="diam" for="ch" forName="conn" refType="diam"/>
        </dgm:constrLst>
        <dgm:layoutNode name="srcNode">
          <dgm:alg type="sp"/>
          <dgm:shape xmlns:r="http://schemas.openxmlformats.org/officeDocument/2006/relationships" type="rect" r:blip="" hideGeom="1">
            <dgm:adjLst/>
          </dgm:shape>
          <dgm:presOf/>
        </dgm:layoutNode>
        <dgm:layoutNode name="conn" styleLbl="parChTrans1D2">
          <dgm:alg type="conn">
            <dgm:param type="connRout" val="curve"/>
            <dgm:param type="srcNode" val="srcNode"/>
            <dgm:param type="dstNode" val="dstNode"/>
            <dgm:param type="begPts" val="ctr"/>
            <dgm:param type="endPts" val="ctr"/>
            <dgm:param type="endSty" val="noArr"/>
          </dgm:alg>
          <dgm:shape xmlns:r="http://schemas.openxmlformats.org/officeDocument/2006/relationships" type="conn" r:blip="">
            <dgm:adjLst/>
          </dgm:shape>
          <dgm:presOf axis="desOrSelf" ptType="sibTrans" hideLastTrans="0" st="0" cnt="1"/>
          <dgm:constrLst>
            <dgm:constr type="begPad"/>
            <dgm:constr type="endPad"/>
          </dgm:constrLst>
        </dgm:layoutNode>
        <dgm:layoutNode name="extraNode">
          <dgm:alg type="sp"/>
          <dgm:shape xmlns:r="http://schemas.openxmlformats.org/officeDocument/2006/relationships" type="rect" r:blip="" hideGeom="1">
            <dgm:adjLst/>
          </dgm:shape>
          <dgm:presOf/>
        </dgm:layoutNode>
        <dgm:layoutNode name="dstNode">
          <dgm:alg type="sp"/>
          <dgm:shape xmlns:r="http://schemas.openxmlformats.org/officeDocument/2006/relationships" type="rect" r:blip="" hideGeom="1">
            <dgm:adjLst/>
          </dgm:shape>
          <dgm:presOf/>
        </dgm:layoutNode>
      </dgm:layoutNode>
      <dgm:forEach name="wrapper" axis="self" ptType="parTrans">
        <dgm:forEach name="wrapper2" axis="self" ptType="sibTrans" st="2">
          <dgm:forEach name="accentRepeat" axis="self">
            <dgm:layoutNode name="accentRepeatNode" styleLbl="solidFgAcc1">
              <dgm:alg type="sp"/>
              <dgm:shape xmlns:r="http://schemas.openxmlformats.org/officeDocument/2006/relationships" type="ellipse" r:blip="">
                <dgm:adjLst/>
              </dgm:shape>
              <dgm:presOf/>
            </dgm:layoutNode>
          </dgm:forEach>
        </dgm:forEach>
      </dgm:forEach>
      <dgm:forEach name="Name24" axis="ch" ptType="node" cnt="1">
        <dgm:layoutNode name="text_1" styleLbl="node1">
          <dgm:varLst>
            <dgm:bulletEnabled val="1"/>
          </dgm:varLst>
          <dgm:choose name="Name25">
            <dgm:if name="Name26" func="var" arg="dir" op="equ" val="norm">
              <dgm:alg type="tx">
                <dgm:param type="parTxLTRAlign" val="l"/>
                <dgm:param type="shpTxLTRAlignCh" val="l"/>
                <dgm:param type="parTxRTLAlign" val="l"/>
                <dgm:param type="shpTxRTLAlignCh" val="l"/>
              </dgm:alg>
            </dgm:if>
            <dgm:else name="Name2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1">
          <dgm:alg type="sp"/>
          <dgm:shape xmlns:r="http://schemas.openxmlformats.org/officeDocument/2006/relationships" r:blip="">
            <dgm:adjLst/>
          </dgm:shape>
          <dgm:presOf/>
          <dgm:constrLst/>
          <dgm:forEach name="Name28" ref="accentRepeat"/>
        </dgm:layoutNode>
      </dgm:forEach>
      <dgm:forEach name="Name29" axis="ch" ptType="node" st="2" cnt="1">
        <dgm:layoutNode name="text_2" styleLbl="node1">
          <dgm:varLst>
            <dgm:bulletEnabled val="1"/>
          </dgm:varLst>
          <dgm:choose name="Name30">
            <dgm:if name="Name31" func="var" arg="dir" op="equ" val="norm">
              <dgm:alg type="tx">
                <dgm:param type="parTxLTRAlign" val="l"/>
                <dgm:param type="shpTxLTRAlignCh" val="l"/>
                <dgm:param type="parTxRTLAlign" val="l"/>
                <dgm:param type="shpTxRTLAlignCh" val="l"/>
              </dgm:alg>
            </dgm:if>
            <dgm:else name="Name3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2">
          <dgm:alg type="sp"/>
          <dgm:shape xmlns:r="http://schemas.openxmlformats.org/officeDocument/2006/relationships" r:blip="">
            <dgm:adjLst/>
          </dgm:shape>
          <dgm:presOf/>
          <dgm:constrLst/>
          <dgm:forEach name="Name33" ref="accentRepeat"/>
        </dgm:layoutNode>
      </dgm:forEach>
      <dgm:forEach name="Name34" axis="ch" ptType="node" st="3" cnt="1">
        <dgm:layoutNode name="text_3" styleLbl="node1">
          <dgm:varLst>
            <dgm:bulletEnabled val="1"/>
          </dgm:varLst>
          <dgm:choose name="Name35">
            <dgm:if name="Name36" func="var" arg="dir" op="equ" val="norm">
              <dgm:alg type="tx">
                <dgm:param type="parTxLTRAlign" val="l"/>
                <dgm:param type="shpTxLTRAlignCh" val="l"/>
                <dgm:param type="parTxRTLAlign" val="l"/>
                <dgm:param type="shpTxRTLAlignCh" val="l"/>
              </dgm:alg>
            </dgm:if>
            <dgm:else name="Name3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3">
          <dgm:alg type="sp"/>
          <dgm:shape xmlns:r="http://schemas.openxmlformats.org/officeDocument/2006/relationships" r:blip="">
            <dgm:adjLst/>
          </dgm:shape>
          <dgm:presOf/>
          <dgm:constrLst/>
          <dgm:forEach name="Name38" ref="accentRepeat"/>
        </dgm:layoutNode>
      </dgm:forEach>
      <dgm:forEach name="Name39" axis="ch" ptType="node" st="4" cnt="1">
        <dgm:layoutNode name="text_4" styleLbl="node1">
          <dgm:varLst>
            <dgm:bulletEnabled val="1"/>
          </dgm:varLst>
          <dgm:choose name="Name40">
            <dgm:if name="Name41" func="var" arg="dir" op="equ" val="norm">
              <dgm:alg type="tx">
                <dgm:param type="parTxLTRAlign" val="l"/>
                <dgm:param type="shpTxLTRAlignCh" val="l"/>
                <dgm:param type="parTxRTLAlign" val="l"/>
                <dgm:param type="shpTxRTLAlignCh" val="l"/>
              </dgm:alg>
            </dgm:if>
            <dgm:else name="Name4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4">
          <dgm:alg type="sp"/>
          <dgm:shape xmlns:r="http://schemas.openxmlformats.org/officeDocument/2006/relationships" r:blip="">
            <dgm:adjLst/>
          </dgm:shape>
          <dgm:presOf/>
          <dgm:constrLst/>
          <dgm:forEach name="Name43" ref="accentRepeat"/>
        </dgm:layoutNode>
      </dgm:forEach>
      <dgm:forEach name="Name44" axis="ch" ptType="node" st="5" cnt="1">
        <dgm:layoutNode name="text_5" styleLbl="node1">
          <dgm:varLst>
            <dgm:bulletEnabled val="1"/>
          </dgm:varLst>
          <dgm:choose name="Name45">
            <dgm:if name="Name46" func="var" arg="dir" op="equ" val="norm">
              <dgm:alg type="tx">
                <dgm:param type="parTxLTRAlign" val="l"/>
                <dgm:param type="shpTxLTRAlignCh" val="l"/>
                <dgm:param type="parTxRTLAlign" val="l"/>
                <dgm:param type="shpTxRTLAlignCh" val="l"/>
              </dgm:alg>
            </dgm:if>
            <dgm:else name="Name4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5">
          <dgm:alg type="sp"/>
          <dgm:shape xmlns:r="http://schemas.openxmlformats.org/officeDocument/2006/relationships" r:blip="">
            <dgm:adjLst/>
          </dgm:shape>
          <dgm:presOf/>
          <dgm:constrLst/>
          <dgm:forEach name="Name48" ref="accentRepeat"/>
        </dgm:layoutNode>
      </dgm:forEach>
      <dgm:forEach name="Name49" axis="ch" ptType="node" st="6" cnt="1">
        <dgm:layoutNode name="text_6" styleLbl="node1">
          <dgm:varLst>
            <dgm:bulletEnabled val="1"/>
          </dgm:varLst>
          <dgm:choose name="Name50">
            <dgm:if name="Name51" func="var" arg="dir" op="equ" val="norm">
              <dgm:alg type="tx">
                <dgm:param type="parTxLTRAlign" val="l"/>
                <dgm:param type="shpTxLTRAlignCh" val="l"/>
                <dgm:param type="parTxRTLAlign" val="l"/>
                <dgm:param type="shpTxRTLAlignCh" val="l"/>
              </dgm:alg>
            </dgm:if>
            <dgm:else name="Name52">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6">
          <dgm:alg type="sp"/>
          <dgm:shape xmlns:r="http://schemas.openxmlformats.org/officeDocument/2006/relationships" r:blip="">
            <dgm:adjLst/>
          </dgm:shape>
          <dgm:presOf/>
          <dgm:constrLst/>
          <dgm:forEach name="Name53" ref="accentRepeat"/>
        </dgm:layoutNode>
      </dgm:forEach>
      <dgm:forEach name="Name54" axis="ch" ptType="node" st="7" cnt="1">
        <dgm:layoutNode name="text_7" styleLbl="node1">
          <dgm:varLst>
            <dgm:bulletEnabled val="1"/>
          </dgm:varLst>
          <dgm:choose name="Name55">
            <dgm:if name="Name56" func="var" arg="dir" op="equ" val="norm">
              <dgm:alg type="tx">
                <dgm:param type="parTxLTRAlign" val="l"/>
                <dgm:param type="shpTxLTRAlignCh" val="l"/>
                <dgm:param type="parTxRTLAlign" val="l"/>
                <dgm:param type="shpTxRTLAlignCh" val="l"/>
              </dgm:alg>
            </dgm:if>
            <dgm:else name="Name57">
              <dgm:alg type="tx">
                <dgm:param type="parTxLTRAlign" val="r"/>
                <dgm:param type="shpTxLTRAlignCh" val="r"/>
                <dgm:param type="parTxRTLAlign" val="r"/>
                <dgm:param type="shpTxRTLAlignCh" val="r"/>
              </dgm:alg>
            </dgm:else>
          </dgm:choose>
          <dgm:shape xmlns:r="http://schemas.openxmlformats.org/officeDocument/2006/relationships" type="rect" r:blip="">
            <dgm:adjLst/>
          </dgm:shape>
          <dgm:presOf axis="desOrSelf" ptType="node"/>
          <dgm:constrLst>
            <dgm:constr type="primFontSz" val="65"/>
            <dgm:constr type="lMarg" refType="primFontSz" fact="0.2"/>
            <dgm:constr type="rMarg" refType="primFontSz" fact="0.2"/>
            <dgm:constr type="tMarg" refType="primFontSz" fact="0.2"/>
            <dgm:constr type="bMarg" refType="primFontSz" fact="0.2"/>
          </dgm:constrLst>
          <dgm:ruleLst>
            <dgm:rule type="primFontSz" val="5" fact="NaN" max="NaN"/>
          </dgm:ruleLst>
        </dgm:layoutNode>
        <dgm:layoutNode name="accent_7">
          <dgm:alg type="sp"/>
          <dgm:shape xmlns:r="http://schemas.openxmlformats.org/officeDocument/2006/relationships" r:blip="">
            <dgm:adjLst/>
          </dgm:shape>
          <dgm:presOf/>
          <dgm:constrLst/>
          <dgm:forEach name="Name58" ref="accentRepeat"/>
        </dgm:layoutNode>
      </dgm:forEach>
    </dgm:layoutNode>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diagramQuickStyle" Target="../diagrams/quickStyle1.xml"/><Relationship Id="rId13" Type="http://schemas.openxmlformats.org/officeDocument/2006/relationships/image" Target="../media/image3.png"/><Relationship Id="rId18"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diagramLayout" Target="../diagrams/layout1.xml"/><Relationship Id="rId12" Type="http://schemas.openxmlformats.org/officeDocument/2006/relationships/image" Target="../media/image2.svg"/><Relationship Id="rId17"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image" Target="../media/image6.svg"/><Relationship Id="rId1" Type="http://schemas.openxmlformats.org/officeDocument/2006/relationships/chart" Target="../charts/chart1.xml"/><Relationship Id="rId6" Type="http://schemas.openxmlformats.org/officeDocument/2006/relationships/diagramData" Target="../diagrams/data1.xml"/><Relationship Id="rId11" Type="http://schemas.openxmlformats.org/officeDocument/2006/relationships/image" Target="../media/image1.png"/><Relationship Id="rId5" Type="http://schemas.openxmlformats.org/officeDocument/2006/relationships/chart" Target="../charts/chart5.xml"/><Relationship Id="rId15" Type="http://schemas.openxmlformats.org/officeDocument/2006/relationships/image" Target="../media/image5.png"/><Relationship Id="rId10" Type="http://schemas.microsoft.com/office/2007/relationships/diagramDrawing" Target="../diagrams/drawing1.xml"/><Relationship Id="rId4" Type="http://schemas.openxmlformats.org/officeDocument/2006/relationships/chart" Target="../charts/chart4.xml"/><Relationship Id="rId9" Type="http://schemas.openxmlformats.org/officeDocument/2006/relationships/diagramColors" Target="../diagrams/colors1.xml"/><Relationship Id="rId1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47037</xdr:rowOff>
    </xdr:from>
    <xdr:to>
      <xdr:col>16</xdr:col>
      <xdr:colOff>526814</xdr:colOff>
      <xdr:row>39</xdr:row>
      <xdr:rowOff>0</xdr:rowOff>
    </xdr:to>
    <xdr:sp macro="" textlink="">
      <xdr:nvSpPr>
        <xdr:cNvPr id="15" name="Rectangle 14">
          <a:extLst>
            <a:ext uri="{FF2B5EF4-FFF2-40B4-BE49-F238E27FC236}">
              <a16:creationId xmlns:a16="http://schemas.microsoft.com/office/drawing/2014/main" id="{B7E5091C-22C7-F8F3-CFA1-E6E19D0307FE}"/>
            </a:ext>
          </a:extLst>
        </xdr:cNvPr>
        <xdr:cNvSpPr/>
      </xdr:nvSpPr>
      <xdr:spPr>
        <a:xfrm>
          <a:off x="0" y="47037"/>
          <a:ext cx="10931407" cy="6923852"/>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13</xdr:col>
      <xdr:colOff>578457</xdr:colOff>
      <xdr:row>25</xdr:row>
      <xdr:rowOff>110505</xdr:rowOff>
    </xdr:from>
    <xdr:to>
      <xdr:col>16</xdr:col>
      <xdr:colOff>436633</xdr:colOff>
      <xdr:row>32</xdr:row>
      <xdr:rowOff>91994</xdr:rowOff>
    </xdr:to>
    <mc:AlternateContent xmlns:mc="http://schemas.openxmlformats.org/markup-compatibility/2006" xmlns:a14="http://schemas.microsoft.com/office/drawing/2010/main">
      <mc:Choice Requires="a14">
        <xdr:graphicFrame macro="">
          <xdr:nvGraphicFramePr>
            <xdr:cNvPr id="2" name="Recency Group">
              <a:extLst>
                <a:ext uri="{FF2B5EF4-FFF2-40B4-BE49-F238E27FC236}">
                  <a16:creationId xmlns:a16="http://schemas.microsoft.com/office/drawing/2014/main" id="{4AB95431-267F-4E3C-906D-C40B2DD1F87E}"/>
                </a:ext>
              </a:extLst>
            </xdr:cNvPr>
            <xdr:cNvGraphicFramePr/>
          </xdr:nvGraphicFramePr>
          <xdr:xfrm>
            <a:off x="0" y="0"/>
            <a:ext cx="0" cy="0"/>
          </xdr:xfrm>
          <a:graphic>
            <a:graphicData uri="http://schemas.microsoft.com/office/drawing/2010/slicer">
              <sle:slicer xmlns:sle="http://schemas.microsoft.com/office/drawing/2010/slicer" name="Recency Group"/>
            </a:graphicData>
          </a:graphic>
        </xdr:graphicFrame>
      </mc:Choice>
      <mc:Fallback xmlns="">
        <xdr:sp macro="" textlink="">
          <xdr:nvSpPr>
            <xdr:cNvPr id="0" name=""/>
            <xdr:cNvSpPr>
              <a:spLocks noTextEdit="1"/>
            </xdr:cNvSpPr>
          </xdr:nvSpPr>
          <xdr:spPr>
            <a:xfrm>
              <a:off x="9060941" y="4716000"/>
              <a:ext cx="1692000" cy="1271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579961</xdr:colOff>
      <xdr:row>9</xdr:row>
      <xdr:rowOff>125606</xdr:rowOff>
    </xdr:from>
    <xdr:to>
      <xdr:col>16</xdr:col>
      <xdr:colOff>438137</xdr:colOff>
      <xdr:row>19</xdr:row>
      <xdr:rowOff>8374</xdr:rowOff>
    </xdr:to>
    <mc:AlternateContent xmlns:mc="http://schemas.openxmlformats.org/markup-compatibility/2006" xmlns:a14="http://schemas.microsoft.com/office/drawing/2010/main">
      <mc:Choice Requires="a14">
        <xdr:graphicFrame macro="">
          <xdr:nvGraphicFramePr>
            <xdr:cNvPr id="5" name="Age Group">
              <a:extLst>
                <a:ext uri="{FF2B5EF4-FFF2-40B4-BE49-F238E27FC236}">
                  <a16:creationId xmlns:a16="http://schemas.microsoft.com/office/drawing/2014/main" id="{D9842756-7A82-4D8C-A6DB-362102914A3E}"/>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9065442" y="1734273"/>
              <a:ext cx="1692621" cy="1670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139568</xdr:colOff>
      <xdr:row>9</xdr:row>
      <xdr:rowOff>126051</xdr:rowOff>
    </xdr:from>
    <xdr:to>
      <xdr:col>6</xdr:col>
      <xdr:colOff>209342</xdr:colOff>
      <xdr:row>24</xdr:row>
      <xdr:rowOff>146497</xdr:rowOff>
    </xdr:to>
    <xdr:graphicFrame macro="">
      <xdr:nvGraphicFramePr>
        <xdr:cNvPr id="6" name="Chart 5">
          <a:extLst>
            <a:ext uri="{FF2B5EF4-FFF2-40B4-BE49-F238E27FC236}">
              <a16:creationId xmlns:a16="http://schemas.microsoft.com/office/drawing/2014/main" id="{DBBE3205-E3D2-4154-885C-E46104926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108857</xdr:colOff>
      <xdr:row>25</xdr:row>
      <xdr:rowOff>108454</xdr:rowOff>
    </xdr:from>
    <xdr:to>
      <xdr:col>2</xdr:col>
      <xdr:colOff>489950</xdr:colOff>
      <xdr:row>38</xdr:row>
      <xdr:rowOff>42800</xdr:rowOff>
    </xdr:to>
    <xdr:graphicFrame macro="">
      <xdr:nvGraphicFramePr>
        <xdr:cNvPr id="7" name="Chart 6">
          <a:extLst>
            <a:ext uri="{FF2B5EF4-FFF2-40B4-BE49-F238E27FC236}">
              <a16:creationId xmlns:a16="http://schemas.microsoft.com/office/drawing/2014/main" id="{D12AAE87-BB37-4256-B549-471341FB9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460549</xdr:colOff>
      <xdr:row>9</xdr:row>
      <xdr:rowOff>119092</xdr:rowOff>
    </xdr:from>
    <xdr:to>
      <xdr:col>13</xdr:col>
      <xdr:colOff>465625</xdr:colOff>
      <xdr:row>24</xdr:row>
      <xdr:rowOff>139537</xdr:rowOff>
    </xdr:to>
    <xdr:graphicFrame macro="">
      <xdr:nvGraphicFramePr>
        <xdr:cNvPr id="8" name="Chart 7">
          <a:extLst>
            <a:ext uri="{FF2B5EF4-FFF2-40B4-BE49-F238E27FC236}">
              <a16:creationId xmlns:a16="http://schemas.microsoft.com/office/drawing/2014/main" id="{E259D898-7384-43E6-AD07-DAED88E68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627674</xdr:colOff>
      <xdr:row>25</xdr:row>
      <xdr:rowOff>100483</xdr:rowOff>
    </xdr:from>
    <xdr:to>
      <xdr:col>6</xdr:col>
      <xdr:colOff>200967</xdr:colOff>
      <xdr:row>38</xdr:row>
      <xdr:rowOff>64234</xdr:rowOff>
    </xdr:to>
    <xdr:graphicFrame macro="">
      <xdr:nvGraphicFramePr>
        <xdr:cNvPr id="9" name="Chart 8">
          <a:extLst>
            <a:ext uri="{FF2B5EF4-FFF2-40B4-BE49-F238E27FC236}">
              <a16:creationId xmlns:a16="http://schemas.microsoft.com/office/drawing/2014/main" id="{1CC481D4-DAAC-4F90-AE3F-4C2786660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43537</xdr:colOff>
      <xdr:row>4</xdr:row>
      <xdr:rowOff>53285</xdr:rowOff>
    </xdr:from>
    <xdr:to>
      <xdr:col>6</xdr:col>
      <xdr:colOff>209340</xdr:colOff>
      <xdr:row>8</xdr:row>
      <xdr:rowOff>152122</xdr:rowOff>
    </xdr:to>
    <xdr:sp macro="" textlink="C57">
      <xdr:nvSpPr>
        <xdr:cNvPr id="10" name="Rectangle: Single Corner Rounded 9">
          <a:extLst>
            <a:ext uri="{FF2B5EF4-FFF2-40B4-BE49-F238E27FC236}">
              <a16:creationId xmlns:a16="http://schemas.microsoft.com/office/drawing/2014/main" id="{ACFA5895-DBC1-13BC-B671-B7FD40A4D4FB}"/>
            </a:ext>
          </a:extLst>
        </xdr:cNvPr>
        <xdr:cNvSpPr/>
      </xdr:nvSpPr>
      <xdr:spPr>
        <a:xfrm>
          <a:off x="2413273" y="790164"/>
          <a:ext cx="1999627" cy="835716"/>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FB20B7C-3068-4337-B9E5-FA7645556EEC}" type="TxLink">
            <a:rPr lang="en-US" sz="2400" b="1" i="0" u="none" strike="noStrike">
              <a:solidFill>
                <a:schemeClr val="bg1"/>
              </a:solidFill>
              <a:latin typeface="Aptos Narrow"/>
            </a:rPr>
            <a:pPr algn="ctr"/>
            <a:t> ₹ 2,95,883.60 </a:t>
          </a:fld>
          <a:endParaRPr lang="en-IN" sz="1100" b="0" i="0" u="none" strike="noStrike">
            <a:solidFill>
              <a:schemeClr val="lt1"/>
            </a:solidFill>
            <a:effectLst/>
            <a:latin typeface="+mn-lt"/>
            <a:ea typeface="+mn-ea"/>
            <a:cs typeface="+mn-cs"/>
          </a:endParaRPr>
        </a:p>
        <a:p>
          <a:pPr algn="ctr"/>
          <a:r>
            <a:rPr lang="en-IN" sz="1400" b="1" i="0" u="none" strike="noStrike">
              <a:solidFill>
                <a:schemeClr val="lt1"/>
              </a:solidFill>
              <a:effectLst/>
              <a:latin typeface="+mn-lt"/>
              <a:ea typeface="+mn-ea"/>
              <a:cs typeface="+mn-cs"/>
            </a:rPr>
            <a:t>Total Revenue</a:t>
          </a:r>
          <a:r>
            <a:rPr lang="en-IN" sz="1200" b="1">
              <a:effectLst/>
            </a:rPr>
            <a:t> </a:t>
          </a:r>
          <a:endParaRPr lang="en-IN" sz="1050" b="1">
            <a:solidFill>
              <a:schemeClr val="bg1"/>
            </a:solidFill>
          </a:endParaRPr>
        </a:p>
      </xdr:txBody>
    </xdr:sp>
    <xdr:clientData/>
  </xdr:twoCellAnchor>
  <xdr:twoCellAnchor>
    <xdr:from>
      <xdr:col>0</xdr:col>
      <xdr:colOff>150725</xdr:colOff>
      <xdr:row>4</xdr:row>
      <xdr:rowOff>61724</xdr:rowOff>
    </xdr:from>
    <xdr:to>
      <xdr:col>2</xdr:col>
      <xdr:colOff>483978</xdr:colOff>
      <xdr:row>8</xdr:row>
      <xdr:rowOff>160560</xdr:rowOff>
    </xdr:to>
    <xdr:sp macro="" textlink="$C$58">
      <xdr:nvSpPr>
        <xdr:cNvPr id="11" name="Rectangle: Single Corner Rounded 10">
          <a:extLst>
            <a:ext uri="{FF2B5EF4-FFF2-40B4-BE49-F238E27FC236}">
              <a16:creationId xmlns:a16="http://schemas.microsoft.com/office/drawing/2014/main" id="{DCCD6E26-F827-4646-BF82-82F85C7474EC}"/>
            </a:ext>
          </a:extLst>
        </xdr:cNvPr>
        <xdr:cNvSpPr/>
      </xdr:nvSpPr>
      <xdr:spPr>
        <a:xfrm>
          <a:off x="150725" y="798603"/>
          <a:ext cx="1915868" cy="835715"/>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E293C9B-8441-4563-A0F2-F30A6440D2B6}" type="TxLink">
            <a:rPr lang="en-US" sz="2800" b="1" i="0" u="none" strike="noStrike">
              <a:solidFill>
                <a:schemeClr val="bg1"/>
              </a:solidFill>
              <a:latin typeface="Aptos Narrow"/>
            </a:rPr>
            <a:pPr algn="ctr"/>
            <a:t>350</a:t>
          </a:fld>
          <a:endParaRPr lang="en-US" sz="2800" b="1" i="0" u="none" strike="noStrike">
            <a:solidFill>
              <a:schemeClr val="bg1"/>
            </a:solidFill>
            <a:latin typeface="Aptos Narrow"/>
          </a:endParaRPr>
        </a:p>
        <a:p>
          <a:pPr algn="ctr"/>
          <a:r>
            <a:rPr lang="en-IN" sz="1400" b="1" i="0" u="none" strike="noStrike">
              <a:solidFill>
                <a:schemeClr val="lt1"/>
              </a:solidFill>
              <a:effectLst/>
              <a:latin typeface="+mn-lt"/>
              <a:ea typeface="+mn-ea"/>
              <a:cs typeface="+mn-cs"/>
            </a:rPr>
            <a:t>Total Customaers</a:t>
          </a:r>
          <a:r>
            <a:rPr lang="en-IN" sz="1200" b="1">
              <a:effectLst/>
            </a:rPr>
            <a:t> </a:t>
          </a:r>
          <a:endParaRPr lang="en-US" sz="1050" b="1">
            <a:solidFill>
              <a:schemeClr val="bg1"/>
            </a:solidFill>
          </a:endParaRPr>
        </a:p>
      </xdr:txBody>
    </xdr:sp>
    <xdr:clientData/>
  </xdr:twoCellAnchor>
  <xdr:twoCellAnchor>
    <xdr:from>
      <xdr:col>10</xdr:col>
      <xdr:colOff>411903</xdr:colOff>
      <xdr:row>4</xdr:row>
      <xdr:rowOff>38255</xdr:rowOff>
    </xdr:from>
    <xdr:to>
      <xdr:col>13</xdr:col>
      <xdr:colOff>450078</xdr:colOff>
      <xdr:row>8</xdr:row>
      <xdr:rowOff>129376</xdr:rowOff>
    </xdr:to>
    <xdr:sp macro="" textlink="C60">
      <xdr:nvSpPr>
        <xdr:cNvPr id="12" name="Rectangle: Single Corner Rounded 11">
          <a:extLst>
            <a:ext uri="{FF2B5EF4-FFF2-40B4-BE49-F238E27FC236}">
              <a16:creationId xmlns:a16="http://schemas.microsoft.com/office/drawing/2014/main" id="{12D2B7A1-00D3-42E7-B570-9246AC71FADE}"/>
            </a:ext>
          </a:extLst>
        </xdr:cNvPr>
        <xdr:cNvSpPr/>
      </xdr:nvSpPr>
      <xdr:spPr>
        <a:xfrm>
          <a:off x="7060562" y="775134"/>
          <a:ext cx="1872000" cy="828000"/>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335D677-0ACE-4E07-87D6-CCF89157F07D}" type="TxLink">
            <a:rPr lang="en-US" sz="1800" b="1" i="0" u="none" strike="noStrike">
              <a:solidFill>
                <a:schemeClr val="bg1"/>
              </a:solidFill>
              <a:latin typeface="Aptos Narrow"/>
            </a:rPr>
            <a:pPr algn="ctr"/>
            <a:t>4.02</a:t>
          </a:fld>
          <a:r>
            <a:rPr lang="en-US" sz="1800" b="1" i="0" u="none" strike="noStrike">
              <a:solidFill>
                <a:schemeClr val="bg1"/>
              </a:solidFill>
              <a:latin typeface="Aptos Narrow"/>
            </a:rPr>
            <a:t>%</a:t>
          </a:r>
        </a:p>
        <a:p>
          <a:pPr algn="ctr"/>
          <a:r>
            <a:rPr lang="en-IN" sz="1400" b="1" i="0" u="none" strike="noStrike">
              <a:solidFill>
                <a:schemeClr val="lt1"/>
              </a:solidFill>
              <a:effectLst/>
              <a:latin typeface="+mn-lt"/>
              <a:ea typeface="+mn-ea"/>
              <a:cs typeface="+mn-cs"/>
            </a:rPr>
            <a:t>Average Rating</a:t>
          </a:r>
          <a:r>
            <a:rPr lang="en-IN" sz="1400" b="1">
              <a:effectLst/>
            </a:rPr>
            <a:t> </a:t>
          </a:r>
          <a:endParaRPr lang="en-IN" sz="1100" b="1">
            <a:solidFill>
              <a:schemeClr val="bg1"/>
            </a:solidFill>
          </a:endParaRPr>
        </a:p>
      </xdr:txBody>
    </xdr:sp>
    <xdr:clientData/>
  </xdr:twoCellAnchor>
  <xdr:twoCellAnchor>
    <xdr:from>
      <xdr:col>6</xdr:col>
      <xdr:colOff>500395</xdr:colOff>
      <xdr:row>4</xdr:row>
      <xdr:rowOff>36472</xdr:rowOff>
    </xdr:from>
    <xdr:to>
      <xdr:col>10</xdr:col>
      <xdr:colOff>65223</xdr:colOff>
      <xdr:row>8</xdr:row>
      <xdr:rowOff>135309</xdr:rowOff>
    </xdr:to>
    <xdr:sp macro="" textlink="C59">
      <xdr:nvSpPr>
        <xdr:cNvPr id="13" name="Rectangle: Single Corner Rounded 12">
          <a:extLst>
            <a:ext uri="{FF2B5EF4-FFF2-40B4-BE49-F238E27FC236}">
              <a16:creationId xmlns:a16="http://schemas.microsoft.com/office/drawing/2014/main" id="{DEBCF26D-A137-4D30-9B03-C4C166861556}"/>
            </a:ext>
          </a:extLst>
        </xdr:cNvPr>
        <xdr:cNvSpPr/>
      </xdr:nvSpPr>
      <xdr:spPr>
        <a:xfrm>
          <a:off x="4703955" y="773351"/>
          <a:ext cx="2009927" cy="835716"/>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6A6AE22-D90E-4087-997A-370CF5E100D8}" type="TxLink">
            <a:rPr lang="en-US" sz="2000" b="1" i="0" u="none" strike="noStrike">
              <a:solidFill>
                <a:schemeClr val="bg1"/>
              </a:solidFill>
              <a:latin typeface="Aptos Narrow"/>
            </a:rPr>
            <a:pPr algn="ctr"/>
            <a:t> ₹ 845.38 </a:t>
          </a:fld>
          <a:endParaRPr lang="en-US" sz="2000" b="1" i="0" u="none" strike="noStrike">
            <a:solidFill>
              <a:schemeClr val="bg1"/>
            </a:solidFill>
            <a:latin typeface="Aptos Narrow"/>
          </a:endParaRPr>
        </a:p>
        <a:p>
          <a:pPr algn="ctr"/>
          <a:r>
            <a:rPr lang="en-IN" sz="1400" b="1" i="0" u="none" strike="noStrike">
              <a:solidFill>
                <a:schemeClr val="lt1"/>
              </a:solidFill>
              <a:effectLst/>
              <a:latin typeface="+mn-lt"/>
              <a:ea typeface="+mn-ea"/>
              <a:cs typeface="+mn-cs"/>
            </a:rPr>
            <a:t>Average Spend</a:t>
          </a:r>
          <a:r>
            <a:rPr lang="en-IN" sz="1200" b="1">
              <a:effectLst/>
            </a:rPr>
            <a:t> </a:t>
          </a:r>
          <a:endParaRPr lang="en-IN" sz="1050" b="1">
            <a:solidFill>
              <a:schemeClr val="bg1"/>
            </a:solidFill>
          </a:endParaRPr>
        </a:p>
      </xdr:txBody>
    </xdr:sp>
    <xdr:clientData/>
  </xdr:twoCellAnchor>
  <xdr:twoCellAnchor editAs="oneCell">
    <xdr:from>
      <xdr:col>13</xdr:col>
      <xdr:colOff>581023</xdr:colOff>
      <xdr:row>19</xdr:row>
      <xdr:rowOff>171824</xdr:rowOff>
    </xdr:from>
    <xdr:to>
      <xdr:col>16</xdr:col>
      <xdr:colOff>439199</xdr:colOff>
      <xdr:row>24</xdr:row>
      <xdr:rowOff>142868</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6E284716-7F33-40BC-B8CF-495F16AC382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063507" y="3672000"/>
              <a:ext cx="1692000" cy="8921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460549</xdr:colOff>
      <xdr:row>25</xdr:row>
      <xdr:rowOff>81516</xdr:rowOff>
    </xdr:from>
    <xdr:to>
      <xdr:col>13</xdr:col>
      <xdr:colOff>460549</xdr:colOff>
      <xdr:row>38</xdr:row>
      <xdr:rowOff>58614</xdr:rowOff>
    </xdr:to>
    <xdr:graphicFrame macro="">
      <xdr:nvGraphicFramePr>
        <xdr:cNvPr id="4" name="Chart 3">
          <a:extLst>
            <a:ext uri="{FF2B5EF4-FFF2-40B4-BE49-F238E27FC236}">
              <a16:creationId xmlns:a16="http://schemas.microsoft.com/office/drawing/2014/main" id="{BB97CEE2-649C-4007-9DE4-100E717623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577781</xdr:colOff>
      <xdr:row>33</xdr:row>
      <xdr:rowOff>4747</xdr:rowOff>
    </xdr:from>
    <xdr:to>
      <xdr:col>16</xdr:col>
      <xdr:colOff>435957</xdr:colOff>
      <xdr:row>38</xdr:row>
      <xdr:rowOff>54988</xdr:rowOff>
    </xdr:to>
    <mc:AlternateContent xmlns:mc="http://schemas.openxmlformats.org/markup-compatibility/2006" xmlns:a14="http://schemas.microsoft.com/office/drawing/2010/main">
      <mc:Choice Requires="a14">
        <xdr:graphicFrame macro="">
          <xdr:nvGraphicFramePr>
            <xdr:cNvPr id="3" name="Discount Applied">
              <a:extLst>
                <a:ext uri="{FF2B5EF4-FFF2-40B4-BE49-F238E27FC236}">
                  <a16:creationId xmlns:a16="http://schemas.microsoft.com/office/drawing/2014/main" id="{F022B65D-C3AD-4BD0-8AC9-609CB86FFB2A}"/>
                </a:ext>
              </a:extLst>
            </xdr:cNvPr>
            <xdr:cNvGraphicFramePr/>
          </xdr:nvGraphicFramePr>
          <xdr:xfrm>
            <a:off x="0" y="0"/>
            <a:ext cx="0" cy="0"/>
          </xdr:xfrm>
          <a:graphic>
            <a:graphicData uri="http://schemas.microsoft.com/office/drawing/2010/slicer">
              <sle:slicer xmlns:sle="http://schemas.microsoft.com/office/drawing/2010/slicer" name="Discount Applied"/>
            </a:graphicData>
          </a:graphic>
        </xdr:graphicFrame>
      </mc:Choice>
      <mc:Fallback xmlns="">
        <xdr:sp macro="" textlink="">
          <xdr:nvSpPr>
            <xdr:cNvPr id="0" name=""/>
            <xdr:cNvSpPr>
              <a:spLocks noTextEdit="1"/>
            </xdr:cNvSpPr>
          </xdr:nvSpPr>
          <xdr:spPr>
            <a:xfrm>
              <a:off x="9060265" y="6084000"/>
              <a:ext cx="1692000" cy="971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142351</xdr:colOff>
      <xdr:row>0</xdr:row>
      <xdr:rowOff>150726</xdr:rowOff>
    </xdr:from>
    <xdr:to>
      <xdr:col>13</xdr:col>
      <xdr:colOff>479867</xdr:colOff>
      <xdr:row>3</xdr:row>
      <xdr:rowOff>142352</xdr:rowOff>
    </xdr:to>
    <xdr:sp macro="" textlink="">
      <xdr:nvSpPr>
        <xdr:cNvPr id="16" name="Rectangle: Rounded Corners 15">
          <a:extLst>
            <a:ext uri="{FF2B5EF4-FFF2-40B4-BE49-F238E27FC236}">
              <a16:creationId xmlns:a16="http://schemas.microsoft.com/office/drawing/2014/main" id="{07C0CBAE-4286-8C81-877B-96803AD081DB}"/>
            </a:ext>
          </a:extLst>
        </xdr:cNvPr>
        <xdr:cNvSpPr/>
      </xdr:nvSpPr>
      <xdr:spPr>
        <a:xfrm>
          <a:off x="142351" y="150726"/>
          <a:ext cx="8820000" cy="5442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latin typeface="Amasis MT Pro Black" panose="020F0502020204030204" pitchFamily="18" charset="0"/>
            </a:rPr>
            <a:t>Customer Behavior Analysis Dashboard </a:t>
          </a:r>
        </a:p>
      </xdr:txBody>
    </xdr:sp>
    <xdr:clientData/>
  </xdr:twoCellAnchor>
  <xdr:twoCellAnchor>
    <xdr:from>
      <xdr:col>13</xdr:col>
      <xdr:colOff>594528</xdr:colOff>
      <xdr:row>0</xdr:row>
      <xdr:rowOff>142352</xdr:rowOff>
    </xdr:from>
    <xdr:to>
      <xdr:col>16</xdr:col>
      <xdr:colOff>468924</xdr:colOff>
      <xdr:row>8</xdr:row>
      <xdr:rowOff>125605</xdr:rowOff>
    </xdr:to>
    <xdr:graphicFrame macro="">
      <xdr:nvGraphicFramePr>
        <xdr:cNvPr id="17" name="Diagram 16">
          <a:extLst>
            <a:ext uri="{FF2B5EF4-FFF2-40B4-BE49-F238E27FC236}">
              <a16:creationId xmlns:a16="http://schemas.microsoft.com/office/drawing/2014/main" id="{B904110C-D976-C458-AF12-22096506636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editAs="oneCell">
    <xdr:from>
      <xdr:col>14</xdr:col>
      <xdr:colOff>50241</xdr:colOff>
      <xdr:row>1</xdr:row>
      <xdr:rowOff>50242</xdr:rowOff>
    </xdr:from>
    <xdr:to>
      <xdr:col>14</xdr:col>
      <xdr:colOff>266241</xdr:colOff>
      <xdr:row>2</xdr:row>
      <xdr:rowOff>82022</xdr:rowOff>
    </xdr:to>
    <xdr:pic>
      <xdr:nvPicPr>
        <xdr:cNvPr id="19" name="Graphic 18" descr="Pyramid with levels with solid fill">
          <a:extLst>
            <a:ext uri="{FF2B5EF4-FFF2-40B4-BE49-F238E27FC236}">
              <a16:creationId xmlns:a16="http://schemas.microsoft.com/office/drawing/2014/main" id="{8FE6D48D-78A1-E80B-CEF6-119776E33E5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143999" y="234462"/>
          <a:ext cx="216000" cy="216000"/>
        </a:xfrm>
        <a:prstGeom prst="rect">
          <a:avLst/>
        </a:prstGeom>
      </xdr:spPr>
    </xdr:pic>
    <xdr:clientData/>
  </xdr:twoCellAnchor>
  <xdr:twoCellAnchor editAs="oneCell">
    <xdr:from>
      <xdr:col>14</xdr:col>
      <xdr:colOff>184221</xdr:colOff>
      <xdr:row>3</xdr:row>
      <xdr:rowOff>41869</xdr:rowOff>
    </xdr:from>
    <xdr:to>
      <xdr:col>14</xdr:col>
      <xdr:colOff>385187</xdr:colOff>
      <xdr:row>4</xdr:row>
      <xdr:rowOff>58615</xdr:rowOff>
    </xdr:to>
    <xdr:pic>
      <xdr:nvPicPr>
        <xdr:cNvPr id="21" name="Graphic 20" descr="Flying Money with solid fill">
          <a:extLst>
            <a:ext uri="{FF2B5EF4-FFF2-40B4-BE49-F238E27FC236}">
              <a16:creationId xmlns:a16="http://schemas.microsoft.com/office/drawing/2014/main" id="{813BA1A4-D851-5BBC-E609-E60E511F5E04}"/>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277979" y="594528"/>
          <a:ext cx="200966" cy="200966"/>
        </a:xfrm>
        <a:prstGeom prst="rect">
          <a:avLst/>
        </a:prstGeom>
      </xdr:spPr>
    </xdr:pic>
    <xdr:clientData/>
  </xdr:twoCellAnchor>
  <xdr:twoCellAnchor editAs="oneCell">
    <xdr:from>
      <xdr:col>14</xdr:col>
      <xdr:colOff>175846</xdr:colOff>
      <xdr:row>5</xdr:row>
      <xdr:rowOff>8374</xdr:rowOff>
    </xdr:from>
    <xdr:to>
      <xdr:col>14</xdr:col>
      <xdr:colOff>410308</xdr:colOff>
      <xdr:row>6</xdr:row>
      <xdr:rowOff>58616</xdr:rowOff>
    </xdr:to>
    <xdr:pic>
      <xdr:nvPicPr>
        <xdr:cNvPr id="23" name="Graphic 22" descr="Handshake with solid fill">
          <a:extLst>
            <a:ext uri="{FF2B5EF4-FFF2-40B4-BE49-F238E27FC236}">
              <a16:creationId xmlns:a16="http://schemas.microsoft.com/office/drawing/2014/main" id="{31280B1F-0CA4-7E21-9E15-9FDC283091C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9269604" y="929473"/>
          <a:ext cx="234462" cy="234462"/>
        </a:xfrm>
        <a:prstGeom prst="rect">
          <a:avLst/>
        </a:prstGeom>
      </xdr:spPr>
    </xdr:pic>
    <xdr:clientData/>
  </xdr:twoCellAnchor>
  <xdr:twoCellAnchor editAs="oneCell">
    <xdr:from>
      <xdr:col>14</xdr:col>
      <xdr:colOff>41868</xdr:colOff>
      <xdr:row>6</xdr:row>
      <xdr:rowOff>159099</xdr:rowOff>
    </xdr:from>
    <xdr:to>
      <xdr:col>14</xdr:col>
      <xdr:colOff>251209</xdr:colOff>
      <xdr:row>8</xdr:row>
      <xdr:rowOff>1</xdr:rowOff>
    </xdr:to>
    <xdr:pic>
      <xdr:nvPicPr>
        <xdr:cNvPr id="25" name="Graphic 24" descr="Search Inventory with solid fill">
          <a:extLst>
            <a:ext uri="{FF2B5EF4-FFF2-40B4-BE49-F238E27FC236}">
              <a16:creationId xmlns:a16="http://schemas.microsoft.com/office/drawing/2014/main" id="{79075BD2-781B-C2F1-455A-2257B891A12A}"/>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135626" y="1264418"/>
          <a:ext cx="209341" cy="209341"/>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aj" refreshedDate="46108.664876736111" createdVersion="8" refreshedVersion="8" minRefreshableVersion="3" recordCount="350" xr:uid="{5773A9EF-B771-4B28-8965-4716E1873187}">
  <cacheSource type="worksheet">
    <worksheetSource name="Table1"/>
  </cacheSource>
  <cacheFields count="14">
    <cacheField name="Customer ID" numFmtId="0">
      <sharedItems containsSemiMixedTypes="0" containsString="0" containsNumber="1" containsInteger="1" minValue="101" maxValue="450"/>
    </cacheField>
    <cacheField name="Gender" numFmtId="0">
      <sharedItems count="2">
        <s v="Female"/>
        <s v="Male"/>
      </sharedItems>
    </cacheField>
    <cacheField name="Age" numFmtId="0">
      <sharedItems containsSemiMixedTypes="0" containsString="0" containsNumber="1" containsInteger="1" minValue="26" maxValue="43" count="16">
        <n v="29"/>
        <n v="34"/>
        <n v="43"/>
        <n v="30"/>
        <n v="27"/>
        <n v="37"/>
        <n v="31"/>
        <n v="35"/>
        <n v="41"/>
        <n v="28"/>
        <n v="32"/>
        <n v="36"/>
        <n v="33"/>
        <n v="42"/>
        <n v="26"/>
        <n v="38"/>
      </sharedItems>
    </cacheField>
    <cacheField name="City" numFmtId="0">
      <sharedItems count="6">
        <s v="New York"/>
        <s v="Los Angeles"/>
        <s v="Chicago"/>
        <s v="San Francisco"/>
        <s v="Miami"/>
        <s v="Houston"/>
      </sharedItems>
    </cacheField>
    <cacheField name="Membership Type" numFmtId="0">
      <sharedItems count="3">
        <s v="Gold"/>
        <s v="Silver"/>
        <s v="Bronze"/>
      </sharedItems>
    </cacheField>
    <cacheField name="Total Spend" numFmtId="0">
      <sharedItems containsSemiMixedTypes="0" containsString="0" containsNumber="1" minValue="410.8" maxValue="1520.1"/>
    </cacheField>
    <cacheField name="Items Purchased" numFmtId="0">
      <sharedItems containsSemiMixedTypes="0" containsString="0" containsNumber="1" containsInteger="1" minValue="7" maxValue="21"/>
    </cacheField>
    <cacheField name="Average Rating" numFmtId="0">
      <sharedItems containsSemiMixedTypes="0" containsString="0" containsNumber="1" minValue="3" maxValue="4.9000000000000004"/>
    </cacheField>
    <cacheField name="Discount Applied" numFmtId="0">
      <sharedItems count="2">
        <b v="1"/>
        <b v="0"/>
      </sharedItems>
    </cacheField>
    <cacheField name="Days Since Last Purchase" numFmtId="0">
      <sharedItems containsSemiMixedTypes="0" containsString="0" containsNumber="1" containsInteger="1" minValue="9" maxValue="63" count="54">
        <n v="25"/>
        <n v="18"/>
        <n v="42"/>
        <n v="12"/>
        <n v="55"/>
        <n v="22"/>
        <n v="28"/>
        <n v="14"/>
        <n v="40"/>
        <n v="9"/>
        <n v="34"/>
        <n v="20"/>
        <n v="21"/>
        <n v="15"/>
        <n v="38"/>
        <n v="11"/>
        <n v="48"/>
        <n v="29"/>
        <n v="16"/>
        <n v="41"/>
        <n v="13"/>
        <n v="54"/>
        <n v="23"/>
        <n v="27"/>
        <n v="39"/>
        <n v="10"/>
        <n v="33"/>
        <n v="19"/>
        <n v="37"/>
        <n v="47"/>
        <n v="24"/>
        <n v="17"/>
        <n v="53"/>
        <n v="26"/>
        <n v="32"/>
        <n v="50"/>
        <n v="35"/>
        <n v="46"/>
        <n v="52"/>
        <n v="56"/>
        <n v="57"/>
        <n v="30"/>
        <n v="36"/>
        <n v="43"/>
        <n v="58"/>
        <n v="31"/>
        <n v="44"/>
        <n v="59"/>
        <n v="45"/>
        <n v="60"/>
        <n v="61"/>
        <n v="62"/>
        <n v="63"/>
        <n v="49"/>
      </sharedItems>
    </cacheField>
    <cacheField name="Satisfaction Level" numFmtId="0">
      <sharedItems count="3">
        <s v="Satisfied"/>
        <s v="Neutral"/>
        <s v="Unsatisfied"/>
      </sharedItems>
    </cacheField>
    <cacheField name="Recency Group" numFmtId="0">
      <sharedItems count="3">
        <s v="Warm"/>
        <s v="Inactive"/>
        <s v="Active"/>
      </sharedItems>
    </cacheField>
    <cacheField name="Customer type" numFmtId="0">
      <sharedItems count="3">
        <s v="High Value"/>
        <s v="Medium Value"/>
        <s v="Low Value"/>
      </sharedItems>
    </cacheField>
    <cacheField name="Age Group" numFmtId="0">
      <sharedItems count="5">
        <s v="29-32"/>
        <s v="33-36"/>
        <s v="41-45"/>
        <s v="25-28"/>
        <s v="37-40"/>
      </sharedItems>
    </cacheField>
  </cacheFields>
  <extLst>
    <ext xmlns:x14="http://schemas.microsoft.com/office/spreadsheetml/2009/9/main" uri="{725AE2AE-9491-48be-B2B4-4EB974FC3084}">
      <x14:pivotCacheDefinition pivotCacheId="382007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n v="101"/>
    <x v="0"/>
    <x v="0"/>
    <x v="0"/>
    <x v="0"/>
    <n v="1120.2"/>
    <n v="14"/>
    <n v="4.5999999999999996"/>
    <x v="0"/>
    <x v="0"/>
    <x v="0"/>
    <x v="0"/>
    <x v="0"/>
    <x v="0"/>
  </r>
  <r>
    <n v="102"/>
    <x v="1"/>
    <x v="1"/>
    <x v="1"/>
    <x v="1"/>
    <n v="780.5"/>
    <n v="11"/>
    <n v="4.0999999999999996"/>
    <x v="1"/>
    <x v="1"/>
    <x v="1"/>
    <x v="0"/>
    <x v="1"/>
    <x v="1"/>
  </r>
  <r>
    <n v="103"/>
    <x v="0"/>
    <x v="2"/>
    <x v="2"/>
    <x v="2"/>
    <n v="510.75"/>
    <n v="9"/>
    <n v="3.4"/>
    <x v="0"/>
    <x v="2"/>
    <x v="2"/>
    <x v="1"/>
    <x v="1"/>
    <x v="2"/>
  </r>
  <r>
    <n v="104"/>
    <x v="1"/>
    <x v="3"/>
    <x v="3"/>
    <x v="0"/>
    <n v="1480.3"/>
    <n v="19"/>
    <n v="4.7"/>
    <x v="1"/>
    <x v="3"/>
    <x v="0"/>
    <x v="2"/>
    <x v="0"/>
    <x v="0"/>
  </r>
  <r>
    <n v="105"/>
    <x v="1"/>
    <x v="4"/>
    <x v="4"/>
    <x v="1"/>
    <n v="720.4"/>
    <n v="13"/>
    <n v="4"/>
    <x v="0"/>
    <x v="4"/>
    <x v="2"/>
    <x v="1"/>
    <x v="1"/>
    <x v="3"/>
  </r>
  <r>
    <n v="106"/>
    <x v="0"/>
    <x v="5"/>
    <x v="5"/>
    <x v="2"/>
    <n v="440.8"/>
    <n v="8"/>
    <n v="3.1"/>
    <x v="1"/>
    <x v="5"/>
    <x v="1"/>
    <x v="0"/>
    <x v="2"/>
    <x v="4"/>
  </r>
  <r>
    <n v="107"/>
    <x v="0"/>
    <x v="6"/>
    <x v="0"/>
    <x v="0"/>
    <n v="1150.5999999999999"/>
    <n v="15"/>
    <n v="4.5"/>
    <x v="0"/>
    <x v="6"/>
    <x v="0"/>
    <x v="0"/>
    <x v="0"/>
    <x v="0"/>
  </r>
  <r>
    <n v="108"/>
    <x v="1"/>
    <x v="7"/>
    <x v="1"/>
    <x v="1"/>
    <n v="800.9"/>
    <n v="12"/>
    <n v="4.2"/>
    <x v="1"/>
    <x v="7"/>
    <x v="1"/>
    <x v="2"/>
    <x v="1"/>
    <x v="1"/>
  </r>
  <r>
    <n v="109"/>
    <x v="0"/>
    <x v="8"/>
    <x v="2"/>
    <x v="2"/>
    <n v="495.25"/>
    <n v="10"/>
    <n v="3.6"/>
    <x v="0"/>
    <x v="8"/>
    <x v="2"/>
    <x v="1"/>
    <x v="2"/>
    <x v="2"/>
  </r>
  <r>
    <n v="110"/>
    <x v="1"/>
    <x v="9"/>
    <x v="3"/>
    <x v="0"/>
    <n v="1520.1"/>
    <n v="21"/>
    <n v="4.8"/>
    <x v="1"/>
    <x v="9"/>
    <x v="0"/>
    <x v="2"/>
    <x v="0"/>
    <x v="3"/>
  </r>
  <r>
    <n v="111"/>
    <x v="1"/>
    <x v="10"/>
    <x v="4"/>
    <x v="1"/>
    <n v="690.3"/>
    <n v="11"/>
    <n v="3.8"/>
    <x v="0"/>
    <x v="10"/>
    <x v="2"/>
    <x v="1"/>
    <x v="1"/>
    <x v="0"/>
  </r>
  <r>
    <n v="112"/>
    <x v="0"/>
    <x v="11"/>
    <x v="5"/>
    <x v="2"/>
    <n v="470.5"/>
    <n v="7"/>
    <n v="3.2"/>
    <x v="1"/>
    <x v="11"/>
    <x v="1"/>
    <x v="0"/>
    <x v="2"/>
    <x v="1"/>
  </r>
  <r>
    <n v="113"/>
    <x v="0"/>
    <x v="3"/>
    <x v="0"/>
    <x v="0"/>
    <n v="1200.8"/>
    <n v="16"/>
    <n v="4.3"/>
    <x v="0"/>
    <x v="12"/>
    <x v="0"/>
    <x v="0"/>
    <x v="0"/>
    <x v="0"/>
  </r>
  <r>
    <n v="114"/>
    <x v="1"/>
    <x v="12"/>
    <x v="1"/>
    <x v="1"/>
    <n v="820.75"/>
    <n v="13"/>
    <n v="4.4000000000000004"/>
    <x v="1"/>
    <x v="13"/>
    <x v="0"/>
    <x v="2"/>
    <x v="1"/>
    <x v="1"/>
  </r>
  <r>
    <n v="115"/>
    <x v="0"/>
    <x v="13"/>
    <x v="2"/>
    <x v="2"/>
    <n v="530.4"/>
    <n v="9"/>
    <n v="3.5"/>
    <x v="0"/>
    <x v="14"/>
    <x v="2"/>
    <x v="1"/>
    <x v="1"/>
    <x v="2"/>
  </r>
  <r>
    <n v="116"/>
    <x v="1"/>
    <x v="0"/>
    <x v="3"/>
    <x v="0"/>
    <n v="1360.2"/>
    <n v="18"/>
    <n v="4.9000000000000004"/>
    <x v="1"/>
    <x v="15"/>
    <x v="0"/>
    <x v="2"/>
    <x v="0"/>
    <x v="0"/>
  </r>
  <r>
    <n v="117"/>
    <x v="1"/>
    <x v="14"/>
    <x v="4"/>
    <x v="1"/>
    <n v="700.6"/>
    <n v="12"/>
    <n v="3.7"/>
    <x v="0"/>
    <x v="16"/>
    <x v="2"/>
    <x v="1"/>
    <x v="1"/>
    <x v="3"/>
  </r>
  <r>
    <n v="118"/>
    <x v="0"/>
    <x v="15"/>
    <x v="5"/>
    <x v="2"/>
    <n v="450.9"/>
    <n v="8"/>
    <n v="3"/>
    <x v="1"/>
    <x v="0"/>
    <x v="1"/>
    <x v="0"/>
    <x v="2"/>
    <x v="4"/>
  </r>
  <r>
    <n v="119"/>
    <x v="0"/>
    <x v="10"/>
    <x v="0"/>
    <x v="0"/>
    <n v="1170.3"/>
    <n v="14"/>
    <n v="4.7"/>
    <x v="0"/>
    <x v="17"/>
    <x v="0"/>
    <x v="0"/>
    <x v="0"/>
    <x v="0"/>
  </r>
  <r>
    <n v="120"/>
    <x v="1"/>
    <x v="1"/>
    <x v="1"/>
    <x v="1"/>
    <n v="790.2"/>
    <n v="11"/>
    <n v="4"/>
    <x v="1"/>
    <x v="18"/>
    <x v="1"/>
    <x v="0"/>
    <x v="1"/>
    <x v="1"/>
  </r>
  <r>
    <n v="121"/>
    <x v="0"/>
    <x v="2"/>
    <x v="2"/>
    <x v="2"/>
    <n v="505.75"/>
    <n v="10"/>
    <n v="3.3"/>
    <x v="0"/>
    <x v="19"/>
    <x v="2"/>
    <x v="1"/>
    <x v="1"/>
    <x v="2"/>
  </r>
  <r>
    <n v="122"/>
    <x v="1"/>
    <x v="3"/>
    <x v="3"/>
    <x v="0"/>
    <n v="1470.5"/>
    <n v="20"/>
    <n v="4.8"/>
    <x v="1"/>
    <x v="20"/>
    <x v="0"/>
    <x v="2"/>
    <x v="0"/>
    <x v="0"/>
  </r>
  <r>
    <n v="123"/>
    <x v="1"/>
    <x v="4"/>
    <x v="4"/>
    <x v="1"/>
    <n v="710.4"/>
    <n v="13"/>
    <n v="4.0999999999999996"/>
    <x v="0"/>
    <x v="21"/>
    <x v="2"/>
    <x v="1"/>
    <x v="1"/>
    <x v="3"/>
  </r>
  <r>
    <n v="124"/>
    <x v="0"/>
    <x v="5"/>
    <x v="5"/>
    <x v="2"/>
    <n v="430.8"/>
    <n v="7"/>
    <n v="3.4"/>
    <x v="1"/>
    <x v="22"/>
    <x v="1"/>
    <x v="0"/>
    <x v="2"/>
    <x v="4"/>
  </r>
  <r>
    <n v="125"/>
    <x v="0"/>
    <x v="6"/>
    <x v="0"/>
    <x v="0"/>
    <n v="1140.5999999999999"/>
    <n v="15"/>
    <n v="4.5999999999999996"/>
    <x v="0"/>
    <x v="23"/>
    <x v="0"/>
    <x v="0"/>
    <x v="0"/>
    <x v="0"/>
  </r>
  <r>
    <n v="126"/>
    <x v="1"/>
    <x v="7"/>
    <x v="1"/>
    <x v="1"/>
    <n v="810.9"/>
    <n v="12"/>
    <n v="4.3"/>
    <x v="1"/>
    <x v="20"/>
    <x v="1"/>
    <x v="2"/>
    <x v="1"/>
    <x v="1"/>
  </r>
  <r>
    <n v="127"/>
    <x v="0"/>
    <x v="8"/>
    <x v="2"/>
    <x v="2"/>
    <n v="485.25"/>
    <n v="9"/>
    <n v="3.6"/>
    <x v="0"/>
    <x v="24"/>
    <x v="2"/>
    <x v="1"/>
    <x v="2"/>
    <x v="2"/>
  </r>
  <r>
    <n v="128"/>
    <x v="1"/>
    <x v="9"/>
    <x v="3"/>
    <x v="0"/>
    <n v="1500.1"/>
    <n v="21"/>
    <n v="4.9000000000000004"/>
    <x v="1"/>
    <x v="25"/>
    <x v="0"/>
    <x v="2"/>
    <x v="0"/>
    <x v="3"/>
  </r>
  <r>
    <n v="129"/>
    <x v="1"/>
    <x v="10"/>
    <x v="4"/>
    <x v="1"/>
    <n v="670.3"/>
    <n v="10"/>
    <n v="3.8"/>
    <x v="0"/>
    <x v="26"/>
    <x v="2"/>
    <x v="1"/>
    <x v="1"/>
    <x v="0"/>
  </r>
  <r>
    <n v="130"/>
    <x v="0"/>
    <x v="11"/>
    <x v="5"/>
    <x v="2"/>
    <n v="460.5"/>
    <n v="8"/>
    <n v="3.1"/>
    <x v="1"/>
    <x v="27"/>
    <x v="1"/>
    <x v="0"/>
    <x v="2"/>
    <x v="1"/>
  </r>
  <r>
    <n v="131"/>
    <x v="0"/>
    <x v="3"/>
    <x v="0"/>
    <x v="0"/>
    <n v="1190.8"/>
    <n v="16"/>
    <n v="4.5"/>
    <x v="0"/>
    <x v="11"/>
    <x v="0"/>
    <x v="0"/>
    <x v="0"/>
    <x v="0"/>
  </r>
  <r>
    <n v="132"/>
    <x v="1"/>
    <x v="12"/>
    <x v="1"/>
    <x v="1"/>
    <n v="830.75"/>
    <n v="13"/>
    <n v="4.2"/>
    <x v="1"/>
    <x v="7"/>
    <x v="0"/>
    <x v="2"/>
    <x v="1"/>
    <x v="1"/>
  </r>
  <r>
    <n v="133"/>
    <x v="0"/>
    <x v="13"/>
    <x v="2"/>
    <x v="2"/>
    <n v="520.4"/>
    <n v="9"/>
    <n v="3.5"/>
    <x v="0"/>
    <x v="28"/>
    <x v="2"/>
    <x v="1"/>
    <x v="1"/>
    <x v="2"/>
  </r>
  <r>
    <n v="134"/>
    <x v="1"/>
    <x v="0"/>
    <x v="3"/>
    <x v="0"/>
    <n v="1370.2"/>
    <n v="18"/>
    <n v="4.7"/>
    <x v="1"/>
    <x v="25"/>
    <x v="0"/>
    <x v="2"/>
    <x v="0"/>
    <x v="0"/>
  </r>
  <r>
    <n v="135"/>
    <x v="1"/>
    <x v="14"/>
    <x v="4"/>
    <x v="1"/>
    <n v="690.6"/>
    <n v="12"/>
    <n v="3.9"/>
    <x v="0"/>
    <x v="29"/>
    <x v="2"/>
    <x v="1"/>
    <x v="1"/>
    <x v="3"/>
  </r>
  <r>
    <n v="136"/>
    <x v="0"/>
    <x v="15"/>
    <x v="5"/>
    <x v="2"/>
    <n v="440.9"/>
    <n v="8"/>
    <n v="3.2"/>
    <x v="1"/>
    <x v="30"/>
    <x v="1"/>
    <x v="0"/>
    <x v="2"/>
    <x v="4"/>
  </r>
  <r>
    <n v="137"/>
    <x v="0"/>
    <x v="10"/>
    <x v="0"/>
    <x v="0"/>
    <n v="1160.3"/>
    <n v="14"/>
    <n v="4.4000000000000004"/>
    <x v="0"/>
    <x v="5"/>
    <x v="0"/>
    <x v="0"/>
    <x v="0"/>
    <x v="0"/>
  </r>
  <r>
    <n v="138"/>
    <x v="1"/>
    <x v="1"/>
    <x v="1"/>
    <x v="1"/>
    <n v="800.2"/>
    <n v="11"/>
    <n v="4.0999999999999996"/>
    <x v="1"/>
    <x v="31"/>
    <x v="1"/>
    <x v="0"/>
    <x v="1"/>
    <x v="1"/>
  </r>
  <r>
    <n v="139"/>
    <x v="0"/>
    <x v="2"/>
    <x v="2"/>
    <x v="2"/>
    <n v="500.75"/>
    <n v="10"/>
    <n v="3.3"/>
    <x v="0"/>
    <x v="8"/>
    <x v="2"/>
    <x v="1"/>
    <x v="1"/>
    <x v="2"/>
  </r>
  <r>
    <n v="140"/>
    <x v="1"/>
    <x v="3"/>
    <x v="3"/>
    <x v="0"/>
    <n v="1460.5"/>
    <n v="20"/>
    <n v="4.8"/>
    <x v="1"/>
    <x v="3"/>
    <x v="0"/>
    <x v="2"/>
    <x v="0"/>
    <x v="0"/>
  </r>
  <r>
    <n v="141"/>
    <x v="1"/>
    <x v="4"/>
    <x v="4"/>
    <x v="1"/>
    <n v="700.4"/>
    <n v="13"/>
    <n v="4"/>
    <x v="0"/>
    <x v="32"/>
    <x v="2"/>
    <x v="1"/>
    <x v="1"/>
    <x v="3"/>
  </r>
  <r>
    <n v="142"/>
    <x v="0"/>
    <x v="5"/>
    <x v="5"/>
    <x v="2"/>
    <n v="420.8"/>
    <n v="7"/>
    <n v="3.1"/>
    <x v="1"/>
    <x v="12"/>
    <x v="1"/>
    <x v="0"/>
    <x v="2"/>
    <x v="4"/>
  </r>
  <r>
    <n v="143"/>
    <x v="0"/>
    <x v="6"/>
    <x v="0"/>
    <x v="0"/>
    <n v="1130.5999999999999"/>
    <n v="15"/>
    <n v="4.5"/>
    <x v="0"/>
    <x v="33"/>
    <x v="0"/>
    <x v="0"/>
    <x v="0"/>
    <x v="0"/>
  </r>
  <r>
    <n v="144"/>
    <x v="1"/>
    <x v="7"/>
    <x v="1"/>
    <x v="1"/>
    <n v="820.9"/>
    <n v="12"/>
    <n v="4.3"/>
    <x v="1"/>
    <x v="3"/>
    <x v="1"/>
    <x v="2"/>
    <x v="1"/>
    <x v="1"/>
  </r>
  <r>
    <n v="145"/>
    <x v="0"/>
    <x v="8"/>
    <x v="2"/>
    <x v="2"/>
    <n v="480.25"/>
    <n v="9"/>
    <n v="3.6"/>
    <x v="0"/>
    <x v="14"/>
    <x v="2"/>
    <x v="1"/>
    <x v="2"/>
    <x v="2"/>
  </r>
  <r>
    <n v="146"/>
    <x v="1"/>
    <x v="9"/>
    <x v="3"/>
    <x v="0"/>
    <n v="1490.1"/>
    <n v="21"/>
    <n v="4.9000000000000004"/>
    <x v="1"/>
    <x v="9"/>
    <x v="0"/>
    <x v="2"/>
    <x v="0"/>
    <x v="3"/>
  </r>
  <r>
    <n v="147"/>
    <x v="1"/>
    <x v="10"/>
    <x v="4"/>
    <x v="1"/>
    <n v="680.3"/>
    <n v="10"/>
    <n v="3.8"/>
    <x v="0"/>
    <x v="34"/>
    <x v="2"/>
    <x v="1"/>
    <x v="1"/>
    <x v="0"/>
  </r>
  <r>
    <n v="148"/>
    <x v="0"/>
    <x v="11"/>
    <x v="5"/>
    <x v="2"/>
    <n v="470.5"/>
    <n v="8"/>
    <n v="3"/>
    <x v="1"/>
    <x v="1"/>
    <x v="1"/>
    <x v="0"/>
    <x v="2"/>
    <x v="1"/>
  </r>
  <r>
    <n v="149"/>
    <x v="0"/>
    <x v="3"/>
    <x v="0"/>
    <x v="0"/>
    <n v="1180.8"/>
    <n v="16"/>
    <n v="4.7"/>
    <x v="0"/>
    <x v="27"/>
    <x v="0"/>
    <x v="0"/>
    <x v="0"/>
    <x v="0"/>
  </r>
  <r>
    <n v="150"/>
    <x v="1"/>
    <x v="1"/>
    <x v="1"/>
    <x v="1"/>
    <n v="790.2"/>
    <n v="11"/>
    <n v="4"/>
    <x v="1"/>
    <x v="13"/>
    <x v="1"/>
    <x v="2"/>
    <x v="1"/>
    <x v="1"/>
  </r>
  <r>
    <n v="151"/>
    <x v="0"/>
    <x v="2"/>
    <x v="2"/>
    <x v="2"/>
    <n v="505.75"/>
    <n v="10"/>
    <n v="3.3"/>
    <x v="0"/>
    <x v="24"/>
    <x v="2"/>
    <x v="1"/>
    <x v="1"/>
    <x v="2"/>
  </r>
  <r>
    <n v="152"/>
    <x v="1"/>
    <x v="3"/>
    <x v="3"/>
    <x v="0"/>
    <n v="1470.5"/>
    <n v="20"/>
    <n v="4.8"/>
    <x v="1"/>
    <x v="20"/>
    <x v="0"/>
    <x v="2"/>
    <x v="0"/>
    <x v="0"/>
  </r>
  <r>
    <n v="153"/>
    <x v="1"/>
    <x v="4"/>
    <x v="4"/>
    <x v="1"/>
    <n v="710.4"/>
    <n v="13"/>
    <n v="4.0999999999999996"/>
    <x v="0"/>
    <x v="21"/>
    <x v="2"/>
    <x v="1"/>
    <x v="1"/>
    <x v="3"/>
  </r>
  <r>
    <n v="154"/>
    <x v="0"/>
    <x v="5"/>
    <x v="5"/>
    <x v="2"/>
    <n v="430.8"/>
    <n v="7"/>
    <n v="3.4"/>
    <x v="1"/>
    <x v="22"/>
    <x v="1"/>
    <x v="0"/>
    <x v="2"/>
    <x v="4"/>
  </r>
  <r>
    <n v="155"/>
    <x v="0"/>
    <x v="6"/>
    <x v="0"/>
    <x v="0"/>
    <n v="1140.5999999999999"/>
    <n v="15"/>
    <n v="4.5999999999999996"/>
    <x v="0"/>
    <x v="23"/>
    <x v="0"/>
    <x v="0"/>
    <x v="0"/>
    <x v="0"/>
  </r>
  <r>
    <n v="156"/>
    <x v="1"/>
    <x v="7"/>
    <x v="1"/>
    <x v="1"/>
    <n v="810.9"/>
    <n v="12"/>
    <n v="4.3"/>
    <x v="1"/>
    <x v="20"/>
    <x v="1"/>
    <x v="2"/>
    <x v="1"/>
    <x v="1"/>
  </r>
  <r>
    <n v="157"/>
    <x v="0"/>
    <x v="8"/>
    <x v="2"/>
    <x v="2"/>
    <n v="485.25"/>
    <n v="9"/>
    <n v="3.6"/>
    <x v="0"/>
    <x v="24"/>
    <x v="2"/>
    <x v="1"/>
    <x v="2"/>
    <x v="2"/>
  </r>
  <r>
    <n v="158"/>
    <x v="1"/>
    <x v="9"/>
    <x v="3"/>
    <x v="0"/>
    <n v="1500.1"/>
    <n v="21"/>
    <n v="4.9000000000000004"/>
    <x v="1"/>
    <x v="25"/>
    <x v="0"/>
    <x v="2"/>
    <x v="0"/>
    <x v="3"/>
  </r>
  <r>
    <n v="159"/>
    <x v="1"/>
    <x v="10"/>
    <x v="4"/>
    <x v="1"/>
    <n v="670.3"/>
    <n v="10"/>
    <n v="3.8"/>
    <x v="0"/>
    <x v="26"/>
    <x v="2"/>
    <x v="1"/>
    <x v="1"/>
    <x v="0"/>
  </r>
  <r>
    <n v="160"/>
    <x v="0"/>
    <x v="11"/>
    <x v="5"/>
    <x v="2"/>
    <n v="460.5"/>
    <n v="8"/>
    <n v="3.1"/>
    <x v="1"/>
    <x v="27"/>
    <x v="1"/>
    <x v="0"/>
    <x v="2"/>
    <x v="1"/>
  </r>
  <r>
    <n v="161"/>
    <x v="0"/>
    <x v="3"/>
    <x v="0"/>
    <x v="0"/>
    <n v="1190.8"/>
    <n v="16"/>
    <n v="4.5"/>
    <x v="0"/>
    <x v="11"/>
    <x v="0"/>
    <x v="0"/>
    <x v="0"/>
    <x v="0"/>
  </r>
  <r>
    <n v="162"/>
    <x v="1"/>
    <x v="12"/>
    <x v="1"/>
    <x v="1"/>
    <n v="830.75"/>
    <n v="13"/>
    <n v="4.2"/>
    <x v="1"/>
    <x v="7"/>
    <x v="0"/>
    <x v="2"/>
    <x v="1"/>
    <x v="1"/>
  </r>
  <r>
    <n v="163"/>
    <x v="0"/>
    <x v="13"/>
    <x v="2"/>
    <x v="2"/>
    <n v="520.4"/>
    <n v="9"/>
    <n v="3.5"/>
    <x v="0"/>
    <x v="28"/>
    <x v="2"/>
    <x v="1"/>
    <x v="1"/>
    <x v="2"/>
  </r>
  <r>
    <n v="164"/>
    <x v="1"/>
    <x v="0"/>
    <x v="3"/>
    <x v="0"/>
    <n v="1370.2"/>
    <n v="18"/>
    <n v="4.7"/>
    <x v="1"/>
    <x v="25"/>
    <x v="0"/>
    <x v="2"/>
    <x v="0"/>
    <x v="0"/>
  </r>
  <r>
    <n v="165"/>
    <x v="1"/>
    <x v="14"/>
    <x v="4"/>
    <x v="1"/>
    <n v="690.6"/>
    <n v="12"/>
    <n v="3.9"/>
    <x v="0"/>
    <x v="29"/>
    <x v="2"/>
    <x v="1"/>
    <x v="1"/>
    <x v="3"/>
  </r>
  <r>
    <n v="166"/>
    <x v="0"/>
    <x v="15"/>
    <x v="5"/>
    <x v="2"/>
    <n v="440.9"/>
    <n v="8"/>
    <n v="3.2"/>
    <x v="1"/>
    <x v="30"/>
    <x v="1"/>
    <x v="0"/>
    <x v="2"/>
    <x v="4"/>
  </r>
  <r>
    <n v="167"/>
    <x v="0"/>
    <x v="10"/>
    <x v="0"/>
    <x v="0"/>
    <n v="1160.3"/>
    <n v="14"/>
    <n v="4.4000000000000004"/>
    <x v="0"/>
    <x v="5"/>
    <x v="0"/>
    <x v="0"/>
    <x v="0"/>
    <x v="0"/>
  </r>
  <r>
    <n v="168"/>
    <x v="1"/>
    <x v="1"/>
    <x v="1"/>
    <x v="1"/>
    <n v="800.2"/>
    <n v="11"/>
    <n v="4.0999999999999996"/>
    <x v="1"/>
    <x v="31"/>
    <x v="1"/>
    <x v="0"/>
    <x v="1"/>
    <x v="1"/>
  </r>
  <r>
    <n v="169"/>
    <x v="0"/>
    <x v="2"/>
    <x v="2"/>
    <x v="2"/>
    <n v="500.75"/>
    <n v="10"/>
    <n v="3.3"/>
    <x v="0"/>
    <x v="8"/>
    <x v="2"/>
    <x v="1"/>
    <x v="1"/>
    <x v="2"/>
  </r>
  <r>
    <n v="170"/>
    <x v="1"/>
    <x v="3"/>
    <x v="3"/>
    <x v="0"/>
    <n v="1460.5"/>
    <n v="20"/>
    <n v="4.8"/>
    <x v="1"/>
    <x v="3"/>
    <x v="0"/>
    <x v="2"/>
    <x v="0"/>
    <x v="0"/>
  </r>
  <r>
    <n v="171"/>
    <x v="1"/>
    <x v="4"/>
    <x v="4"/>
    <x v="1"/>
    <n v="700.4"/>
    <n v="13"/>
    <n v="4"/>
    <x v="0"/>
    <x v="32"/>
    <x v="2"/>
    <x v="1"/>
    <x v="1"/>
    <x v="3"/>
  </r>
  <r>
    <n v="172"/>
    <x v="0"/>
    <x v="5"/>
    <x v="5"/>
    <x v="2"/>
    <n v="420.8"/>
    <n v="7"/>
    <n v="3.1"/>
    <x v="1"/>
    <x v="12"/>
    <x v="2"/>
    <x v="0"/>
    <x v="2"/>
    <x v="4"/>
  </r>
  <r>
    <n v="173"/>
    <x v="0"/>
    <x v="6"/>
    <x v="0"/>
    <x v="0"/>
    <n v="1130.5999999999999"/>
    <n v="15"/>
    <n v="4.5"/>
    <x v="0"/>
    <x v="33"/>
    <x v="0"/>
    <x v="0"/>
    <x v="0"/>
    <x v="0"/>
  </r>
  <r>
    <n v="174"/>
    <x v="1"/>
    <x v="7"/>
    <x v="1"/>
    <x v="1"/>
    <n v="820.9"/>
    <n v="12"/>
    <n v="4.3"/>
    <x v="1"/>
    <x v="3"/>
    <x v="1"/>
    <x v="2"/>
    <x v="1"/>
    <x v="1"/>
  </r>
  <r>
    <n v="175"/>
    <x v="0"/>
    <x v="8"/>
    <x v="2"/>
    <x v="2"/>
    <n v="480.25"/>
    <n v="9"/>
    <n v="3.6"/>
    <x v="0"/>
    <x v="14"/>
    <x v="2"/>
    <x v="1"/>
    <x v="2"/>
    <x v="2"/>
  </r>
  <r>
    <n v="176"/>
    <x v="1"/>
    <x v="9"/>
    <x v="3"/>
    <x v="0"/>
    <n v="1490.1"/>
    <n v="21"/>
    <n v="4.9000000000000004"/>
    <x v="1"/>
    <x v="9"/>
    <x v="0"/>
    <x v="2"/>
    <x v="0"/>
    <x v="3"/>
  </r>
  <r>
    <n v="177"/>
    <x v="1"/>
    <x v="10"/>
    <x v="4"/>
    <x v="1"/>
    <n v="680.3"/>
    <n v="10"/>
    <n v="3.8"/>
    <x v="0"/>
    <x v="34"/>
    <x v="2"/>
    <x v="1"/>
    <x v="1"/>
    <x v="0"/>
  </r>
  <r>
    <n v="178"/>
    <x v="0"/>
    <x v="11"/>
    <x v="5"/>
    <x v="2"/>
    <n v="470.5"/>
    <n v="8"/>
    <n v="3"/>
    <x v="1"/>
    <x v="1"/>
    <x v="1"/>
    <x v="0"/>
    <x v="2"/>
    <x v="1"/>
  </r>
  <r>
    <n v="179"/>
    <x v="0"/>
    <x v="3"/>
    <x v="0"/>
    <x v="0"/>
    <n v="1180.8"/>
    <n v="16"/>
    <n v="4.7"/>
    <x v="0"/>
    <x v="27"/>
    <x v="0"/>
    <x v="0"/>
    <x v="0"/>
    <x v="0"/>
  </r>
  <r>
    <n v="180"/>
    <x v="1"/>
    <x v="1"/>
    <x v="1"/>
    <x v="1"/>
    <n v="790.2"/>
    <n v="11"/>
    <n v="4"/>
    <x v="1"/>
    <x v="13"/>
    <x v="1"/>
    <x v="2"/>
    <x v="1"/>
    <x v="1"/>
  </r>
  <r>
    <n v="181"/>
    <x v="0"/>
    <x v="2"/>
    <x v="2"/>
    <x v="2"/>
    <n v="505.75"/>
    <n v="10"/>
    <n v="3.3"/>
    <x v="0"/>
    <x v="24"/>
    <x v="2"/>
    <x v="1"/>
    <x v="1"/>
    <x v="2"/>
  </r>
  <r>
    <n v="182"/>
    <x v="1"/>
    <x v="3"/>
    <x v="3"/>
    <x v="0"/>
    <n v="1470.5"/>
    <n v="20"/>
    <n v="4.8"/>
    <x v="1"/>
    <x v="20"/>
    <x v="0"/>
    <x v="2"/>
    <x v="0"/>
    <x v="0"/>
  </r>
  <r>
    <n v="183"/>
    <x v="1"/>
    <x v="4"/>
    <x v="4"/>
    <x v="1"/>
    <n v="710.4"/>
    <n v="13"/>
    <n v="4.0999999999999996"/>
    <x v="0"/>
    <x v="21"/>
    <x v="2"/>
    <x v="1"/>
    <x v="1"/>
    <x v="3"/>
  </r>
  <r>
    <n v="184"/>
    <x v="0"/>
    <x v="5"/>
    <x v="5"/>
    <x v="2"/>
    <n v="430.8"/>
    <n v="7"/>
    <n v="3.4"/>
    <x v="1"/>
    <x v="22"/>
    <x v="1"/>
    <x v="0"/>
    <x v="2"/>
    <x v="4"/>
  </r>
  <r>
    <n v="185"/>
    <x v="0"/>
    <x v="6"/>
    <x v="0"/>
    <x v="0"/>
    <n v="1140.5999999999999"/>
    <n v="15"/>
    <n v="4.5999999999999996"/>
    <x v="0"/>
    <x v="23"/>
    <x v="0"/>
    <x v="0"/>
    <x v="0"/>
    <x v="0"/>
  </r>
  <r>
    <n v="186"/>
    <x v="1"/>
    <x v="7"/>
    <x v="1"/>
    <x v="1"/>
    <n v="810.9"/>
    <n v="12"/>
    <n v="4.3"/>
    <x v="1"/>
    <x v="20"/>
    <x v="1"/>
    <x v="2"/>
    <x v="1"/>
    <x v="1"/>
  </r>
  <r>
    <n v="187"/>
    <x v="0"/>
    <x v="8"/>
    <x v="2"/>
    <x v="2"/>
    <n v="485.25"/>
    <n v="9"/>
    <n v="3.6"/>
    <x v="0"/>
    <x v="24"/>
    <x v="2"/>
    <x v="1"/>
    <x v="2"/>
    <x v="2"/>
  </r>
  <r>
    <n v="188"/>
    <x v="1"/>
    <x v="9"/>
    <x v="3"/>
    <x v="0"/>
    <n v="1500.1"/>
    <n v="21"/>
    <n v="4.9000000000000004"/>
    <x v="1"/>
    <x v="25"/>
    <x v="0"/>
    <x v="2"/>
    <x v="0"/>
    <x v="3"/>
  </r>
  <r>
    <n v="189"/>
    <x v="1"/>
    <x v="10"/>
    <x v="4"/>
    <x v="1"/>
    <n v="670.3"/>
    <n v="10"/>
    <n v="3.8"/>
    <x v="0"/>
    <x v="26"/>
    <x v="2"/>
    <x v="1"/>
    <x v="1"/>
    <x v="0"/>
  </r>
  <r>
    <n v="190"/>
    <x v="0"/>
    <x v="11"/>
    <x v="5"/>
    <x v="2"/>
    <n v="460.5"/>
    <n v="8"/>
    <n v="3.1"/>
    <x v="1"/>
    <x v="27"/>
    <x v="1"/>
    <x v="0"/>
    <x v="2"/>
    <x v="1"/>
  </r>
  <r>
    <n v="191"/>
    <x v="0"/>
    <x v="3"/>
    <x v="0"/>
    <x v="0"/>
    <n v="1190.8"/>
    <n v="16"/>
    <n v="4.5"/>
    <x v="0"/>
    <x v="11"/>
    <x v="0"/>
    <x v="0"/>
    <x v="0"/>
    <x v="0"/>
  </r>
  <r>
    <n v="192"/>
    <x v="1"/>
    <x v="12"/>
    <x v="1"/>
    <x v="1"/>
    <n v="830.75"/>
    <n v="13"/>
    <n v="4.2"/>
    <x v="1"/>
    <x v="7"/>
    <x v="0"/>
    <x v="2"/>
    <x v="1"/>
    <x v="1"/>
  </r>
  <r>
    <n v="193"/>
    <x v="0"/>
    <x v="13"/>
    <x v="2"/>
    <x v="2"/>
    <n v="520.4"/>
    <n v="9"/>
    <n v="3.5"/>
    <x v="0"/>
    <x v="28"/>
    <x v="2"/>
    <x v="1"/>
    <x v="1"/>
    <x v="2"/>
  </r>
  <r>
    <n v="194"/>
    <x v="1"/>
    <x v="0"/>
    <x v="3"/>
    <x v="0"/>
    <n v="1370.2"/>
    <n v="18"/>
    <n v="4.7"/>
    <x v="1"/>
    <x v="25"/>
    <x v="0"/>
    <x v="2"/>
    <x v="0"/>
    <x v="0"/>
  </r>
  <r>
    <n v="195"/>
    <x v="1"/>
    <x v="14"/>
    <x v="4"/>
    <x v="1"/>
    <n v="690.6"/>
    <n v="12"/>
    <n v="3.9"/>
    <x v="0"/>
    <x v="29"/>
    <x v="2"/>
    <x v="1"/>
    <x v="1"/>
    <x v="3"/>
  </r>
  <r>
    <n v="196"/>
    <x v="0"/>
    <x v="15"/>
    <x v="5"/>
    <x v="2"/>
    <n v="440.9"/>
    <n v="8"/>
    <n v="3.2"/>
    <x v="1"/>
    <x v="30"/>
    <x v="1"/>
    <x v="0"/>
    <x v="2"/>
    <x v="4"/>
  </r>
  <r>
    <n v="197"/>
    <x v="0"/>
    <x v="10"/>
    <x v="0"/>
    <x v="0"/>
    <n v="1160.3"/>
    <n v="14"/>
    <n v="4.4000000000000004"/>
    <x v="0"/>
    <x v="5"/>
    <x v="0"/>
    <x v="0"/>
    <x v="0"/>
    <x v="0"/>
  </r>
  <r>
    <n v="198"/>
    <x v="1"/>
    <x v="1"/>
    <x v="1"/>
    <x v="1"/>
    <n v="800.2"/>
    <n v="11"/>
    <n v="4.0999999999999996"/>
    <x v="1"/>
    <x v="31"/>
    <x v="1"/>
    <x v="0"/>
    <x v="1"/>
    <x v="1"/>
  </r>
  <r>
    <n v="199"/>
    <x v="0"/>
    <x v="2"/>
    <x v="2"/>
    <x v="2"/>
    <n v="500.75"/>
    <n v="10"/>
    <n v="3.3"/>
    <x v="0"/>
    <x v="8"/>
    <x v="2"/>
    <x v="1"/>
    <x v="1"/>
    <x v="2"/>
  </r>
  <r>
    <n v="200"/>
    <x v="1"/>
    <x v="3"/>
    <x v="3"/>
    <x v="0"/>
    <n v="1460.5"/>
    <n v="20"/>
    <n v="4.8"/>
    <x v="1"/>
    <x v="3"/>
    <x v="0"/>
    <x v="2"/>
    <x v="0"/>
    <x v="0"/>
  </r>
  <r>
    <n v="201"/>
    <x v="1"/>
    <x v="4"/>
    <x v="4"/>
    <x v="1"/>
    <n v="700.4"/>
    <n v="13"/>
    <n v="4"/>
    <x v="0"/>
    <x v="32"/>
    <x v="2"/>
    <x v="1"/>
    <x v="1"/>
    <x v="3"/>
  </r>
  <r>
    <n v="202"/>
    <x v="0"/>
    <x v="5"/>
    <x v="5"/>
    <x v="2"/>
    <n v="420.8"/>
    <n v="7"/>
    <n v="3.1"/>
    <x v="1"/>
    <x v="12"/>
    <x v="1"/>
    <x v="0"/>
    <x v="2"/>
    <x v="4"/>
  </r>
  <r>
    <n v="203"/>
    <x v="0"/>
    <x v="6"/>
    <x v="0"/>
    <x v="0"/>
    <n v="1130.5999999999999"/>
    <n v="15"/>
    <n v="4.5"/>
    <x v="0"/>
    <x v="33"/>
    <x v="0"/>
    <x v="0"/>
    <x v="0"/>
    <x v="0"/>
  </r>
  <r>
    <n v="204"/>
    <x v="1"/>
    <x v="7"/>
    <x v="1"/>
    <x v="1"/>
    <n v="820.9"/>
    <n v="12"/>
    <n v="4.3"/>
    <x v="1"/>
    <x v="3"/>
    <x v="1"/>
    <x v="2"/>
    <x v="1"/>
    <x v="1"/>
  </r>
  <r>
    <n v="205"/>
    <x v="0"/>
    <x v="8"/>
    <x v="2"/>
    <x v="2"/>
    <n v="480.25"/>
    <n v="9"/>
    <n v="3.6"/>
    <x v="0"/>
    <x v="14"/>
    <x v="2"/>
    <x v="1"/>
    <x v="2"/>
    <x v="2"/>
  </r>
  <r>
    <n v="206"/>
    <x v="1"/>
    <x v="9"/>
    <x v="3"/>
    <x v="0"/>
    <n v="1490.1"/>
    <n v="21"/>
    <n v="4.9000000000000004"/>
    <x v="1"/>
    <x v="9"/>
    <x v="0"/>
    <x v="2"/>
    <x v="0"/>
    <x v="3"/>
  </r>
  <r>
    <n v="207"/>
    <x v="1"/>
    <x v="10"/>
    <x v="4"/>
    <x v="1"/>
    <n v="680.3"/>
    <n v="10"/>
    <n v="3.8"/>
    <x v="0"/>
    <x v="34"/>
    <x v="2"/>
    <x v="1"/>
    <x v="1"/>
    <x v="0"/>
  </r>
  <r>
    <n v="208"/>
    <x v="0"/>
    <x v="11"/>
    <x v="5"/>
    <x v="2"/>
    <n v="470.5"/>
    <n v="8"/>
    <n v="3"/>
    <x v="1"/>
    <x v="1"/>
    <x v="1"/>
    <x v="0"/>
    <x v="2"/>
    <x v="1"/>
  </r>
  <r>
    <n v="209"/>
    <x v="0"/>
    <x v="3"/>
    <x v="0"/>
    <x v="0"/>
    <n v="1180.8"/>
    <n v="16"/>
    <n v="4.7"/>
    <x v="0"/>
    <x v="27"/>
    <x v="0"/>
    <x v="0"/>
    <x v="0"/>
    <x v="0"/>
  </r>
  <r>
    <n v="210"/>
    <x v="1"/>
    <x v="1"/>
    <x v="1"/>
    <x v="1"/>
    <n v="790.2"/>
    <n v="11"/>
    <n v="4"/>
    <x v="1"/>
    <x v="13"/>
    <x v="1"/>
    <x v="2"/>
    <x v="1"/>
    <x v="1"/>
  </r>
  <r>
    <n v="211"/>
    <x v="0"/>
    <x v="2"/>
    <x v="2"/>
    <x v="2"/>
    <n v="505.75"/>
    <n v="10"/>
    <n v="3.3"/>
    <x v="0"/>
    <x v="24"/>
    <x v="2"/>
    <x v="1"/>
    <x v="1"/>
    <x v="2"/>
  </r>
  <r>
    <n v="212"/>
    <x v="1"/>
    <x v="3"/>
    <x v="3"/>
    <x v="0"/>
    <n v="1470.5"/>
    <n v="20"/>
    <n v="4.8"/>
    <x v="1"/>
    <x v="20"/>
    <x v="0"/>
    <x v="2"/>
    <x v="0"/>
    <x v="0"/>
  </r>
  <r>
    <n v="213"/>
    <x v="1"/>
    <x v="4"/>
    <x v="4"/>
    <x v="1"/>
    <n v="710.4"/>
    <n v="13"/>
    <n v="4.0999999999999996"/>
    <x v="0"/>
    <x v="21"/>
    <x v="2"/>
    <x v="1"/>
    <x v="1"/>
    <x v="3"/>
  </r>
  <r>
    <n v="214"/>
    <x v="0"/>
    <x v="5"/>
    <x v="5"/>
    <x v="2"/>
    <n v="430.8"/>
    <n v="7"/>
    <n v="3.4"/>
    <x v="1"/>
    <x v="22"/>
    <x v="1"/>
    <x v="0"/>
    <x v="2"/>
    <x v="4"/>
  </r>
  <r>
    <n v="215"/>
    <x v="0"/>
    <x v="6"/>
    <x v="0"/>
    <x v="0"/>
    <n v="1140.5999999999999"/>
    <n v="15"/>
    <n v="4.5999999999999996"/>
    <x v="0"/>
    <x v="23"/>
    <x v="0"/>
    <x v="0"/>
    <x v="0"/>
    <x v="0"/>
  </r>
  <r>
    <n v="216"/>
    <x v="1"/>
    <x v="7"/>
    <x v="1"/>
    <x v="1"/>
    <n v="810.9"/>
    <n v="12"/>
    <n v="4.3"/>
    <x v="1"/>
    <x v="20"/>
    <x v="1"/>
    <x v="2"/>
    <x v="1"/>
    <x v="1"/>
  </r>
  <r>
    <n v="217"/>
    <x v="0"/>
    <x v="8"/>
    <x v="2"/>
    <x v="2"/>
    <n v="485.25"/>
    <n v="9"/>
    <n v="3.6"/>
    <x v="0"/>
    <x v="24"/>
    <x v="2"/>
    <x v="1"/>
    <x v="2"/>
    <x v="2"/>
  </r>
  <r>
    <n v="218"/>
    <x v="1"/>
    <x v="9"/>
    <x v="3"/>
    <x v="0"/>
    <n v="1500.1"/>
    <n v="21"/>
    <n v="4.9000000000000004"/>
    <x v="1"/>
    <x v="25"/>
    <x v="0"/>
    <x v="2"/>
    <x v="0"/>
    <x v="3"/>
  </r>
  <r>
    <n v="219"/>
    <x v="1"/>
    <x v="10"/>
    <x v="4"/>
    <x v="1"/>
    <n v="670.3"/>
    <n v="10"/>
    <n v="3.8"/>
    <x v="0"/>
    <x v="26"/>
    <x v="2"/>
    <x v="1"/>
    <x v="1"/>
    <x v="0"/>
  </r>
  <r>
    <n v="220"/>
    <x v="0"/>
    <x v="11"/>
    <x v="5"/>
    <x v="2"/>
    <n v="460.5"/>
    <n v="8"/>
    <n v="3.1"/>
    <x v="1"/>
    <x v="27"/>
    <x v="1"/>
    <x v="0"/>
    <x v="2"/>
    <x v="1"/>
  </r>
  <r>
    <n v="221"/>
    <x v="0"/>
    <x v="3"/>
    <x v="0"/>
    <x v="0"/>
    <n v="1190.8"/>
    <n v="16"/>
    <n v="4.5"/>
    <x v="0"/>
    <x v="11"/>
    <x v="0"/>
    <x v="0"/>
    <x v="0"/>
    <x v="0"/>
  </r>
  <r>
    <n v="222"/>
    <x v="1"/>
    <x v="12"/>
    <x v="1"/>
    <x v="1"/>
    <n v="830.75"/>
    <n v="13"/>
    <n v="4.2"/>
    <x v="1"/>
    <x v="7"/>
    <x v="0"/>
    <x v="2"/>
    <x v="1"/>
    <x v="1"/>
  </r>
  <r>
    <n v="223"/>
    <x v="0"/>
    <x v="13"/>
    <x v="2"/>
    <x v="2"/>
    <n v="520.4"/>
    <n v="9"/>
    <n v="3.5"/>
    <x v="0"/>
    <x v="28"/>
    <x v="2"/>
    <x v="1"/>
    <x v="1"/>
    <x v="2"/>
  </r>
  <r>
    <n v="224"/>
    <x v="1"/>
    <x v="0"/>
    <x v="3"/>
    <x v="0"/>
    <n v="1370.2"/>
    <n v="18"/>
    <n v="4.7"/>
    <x v="1"/>
    <x v="25"/>
    <x v="0"/>
    <x v="2"/>
    <x v="0"/>
    <x v="0"/>
  </r>
  <r>
    <n v="225"/>
    <x v="1"/>
    <x v="14"/>
    <x v="4"/>
    <x v="1"/>
    <n v="690.6"/>
    <n v="12"/>
    <n v="3.9"/>
    <x v="0"/>
    <x v="29"/>
    <x v="2"/>
    <x v="1"/>
    <x v="1"/>
    <x v="3"/>
  </r>
  <r>
    <n v="226"/>
    <x v="0"/>
    <x v="15"/>
    <x v="5"/>
    <x v="2"/>
    <n v="440.9"/>
    <n v="8"/>
    <n v="3.2"/>
    <x v="1"/>
    <x v="30"/>
    <x v="1"/>
    <x v="0"/>
    <x v="2"/>
    <x v="4"/>
  </r>
  <r>
    <n v="227"/>
    <x v="0"/>
    <x v="10"/>
    <x v="0"/>
    <x v="0"/>
    <n v="1160.3"/>
    <n v="14"/>
    <n v="4.4000000000000004"/>
    <x v="0"/>
    <x v="5"/>
    <x v="0"/>
    <x v="0"/>
    <x v="0"/>
    <x v="0"/>
  </r>
  <r>
    <n v="228"/>
    <x v="1"/>
    <x v="1"/>
    <x v="1"/>
    <x v="1"/>
    <n v="800.2"/>
    <n v="11"/>
    <n v="4.0999999999999996"/>
    <x v="1"/>
    <x v="31"/>
    <x v="1"/>
    <x v="0"/>
    <x v="1"/>
    <x v="1"/>
  </r>
  <r>
    <n v="229"/>
    <x v="0"/>
    <x v="2"/>
    <x v="2"/>
    <x v="2"/>
    <n v="500.75"/>
    <n v="10"/>
    <n v="3.3"/>
    <x v="0"/>
    <x v="8"/>
    <x v="2"/>
    <x v="1"/>
    <x v="1"/>
    <x v="2"/>
  </r>
  <r>
    <n v="230"/>
    <x v="1"/>
    <x v="3"/>
    <x v="3"/>
    <x v="0"/>
    <n v="1460.5"/>
    <n v="20"/>
    <n v="4.8"/>
    <x v="1"/>
    <x v="3"/>
    <x v="0"/>
    <x v="2"/>
    <x v="0"/>
    <x v="0"/>
  </r>
  <r>
    <n v="231"/>
    <x v="1"/>
    <x v="4"/>
    <x v="4"/>
    <x v="1"/>
    <n v="700.4"/>
    <n v="13"/>
    <n v="4"/>
    <x v="0"/>
    <x v="32"/>
    <x v="2"/>
    <x v="1"/>
    <x v="1"/>
    <x v="3"/>
  </r>
  <r>
    <n v="232"/>
    <x v="0"/>
    <x v="5"/>
    <x v="5"/>
    <x v="2"/>
    <n v="420.8"/>
    <n v="7"/>
    <n v="3.1"/>
    <x v="1"/>
    <x v="12"/>
    <x v="1"/>
    <x v="0"/>
    <x v="2"/>
    <x v="4"/>
  </r>
  <r>
    <n v="233"/>
    <x v="0"/>
    <x v="6"/>
    <x v="0"/>
    <x v="0"/>
    <n v="1130.5999999999999"/>
    <n v="15"/>
    <n v="4.5"/>
    <x v="0"/>
    <x v="33"/>
    <x v="0"/>
    <x v="0"/>
    <x v="0"/>
    <x v="0"/>
  </r>
  <r>
    <n v="234"/>
    <x v="1"/>
    <x v="7"/>
    <x v="1"/>
    <x v="1"/>
    <n v="820.9"/>
    <n v="12"/>
    <n v="4.3"/>
    <x v="1"/>
    <x v="3"/>
    <x v="1"/>
    <x v="2"/>
    <x v="1"/>
    <x v="1"/>
  </r>
  <r>
    <n v="235"/>
    <x v="0"/>
    <x v="8"/>
    <x v="2"/>
    <x v="2"/>
    <n v="480.25"/>
    <n v="9"/>
    <n v="3.6"/>
    <x v="0"/>
    <x v="14"/>
    <x v="2"/>
    <x v="1"/>
    <x v="2"/>
    <x v="2"/>
  </r>
  <r>
    <n v="236"/>
    <x v="1"/>
    <x v="9"/>
    <x v="3"/>
    <x v="0"/>
    <n v="1490.1"/>
    <n v="21"/>
    <n v="4.9000000000000004"/>
    <x v="1"/>
    <x v="9"/>
    <x v="0"/>
    <x v="2"/>
    <x v="0"/>
    <x v="3"/>
  </r>
  <r>
    <n v="237"/>
    <x v="1"/>
    <x v="10"/>
    <x v="4"/>
    <x v="1"/>
    <n v="680.3"/>
    <n v="10"/>
    <n v="3.8"/>
    <x v="0"/>
    <x v="34"/>
    <x v="2"/>
    <x v="1"/>
    <x v="1"/>
    <x v="0"/>
  </r>
  <r>
    <n v="238"/>
    <x v="0"/>
    <x v="11"/>
    <x v="5"/>
    <x v="2"/>
    <n v="470.5"/>
    <n v="8"/>
    <n v="3"/>
    <x v="1"/>
    <x v="1"/>
    <x v="1"/>
    <x v="0"/>
    <x v="2"/>
    <x v="1"/>
  </r>
  <r>
    <n v="239"/>
    <x v="0"/>
    <x v="3"/>
    <x v="0"/>
    <x v="0"/>
    <n v="1180.8"/>
    <n v="16"/>
    <n v="4.7"/>
    <x v="0"/>
    <x v="27"/>
    <x v="0"/>
    <x v="0"/>
    <x v="0"/>
    <x v="0"/>
  </r>
  <r>
    <n v="240"/>
    <x v="1"/>
    <x v="1"/>
    <x v="1"/>
    <x v="1"/>
    <n v="790.2"/>
    <n v="11"/>
    <n v="4"/>
    <x v="1"/>
    <x v="13"/>
    <x v="1"/>
    <x v="2"/>
    <x v="1"/>
    <x v="1"/>
  </r>
  <r>
    <n v="241"/>
    <x v="0"/>
    <x v="2"/>
    <x v="2"/>
    <x v="2"/>
    <n v="505.75"/>
    <n v="10"/>
    <n v="3.3"/>
    <x v="0"/>
    <x v="24"/>
    <x v="2"/>
    <x v="1"/>
    <x v="1"/>
    <x v="2"/>
  </r>
  <r>
    <n v="242"/>
    <x v="1"/>
    <x v="3"/>
    <x v="3"/>
    <x v="0"/>
    <n v="1470.5"/>
    <n v="20"/>
    <n v="4.8"/>
    <x v="1"/>
    <x v="20"/>
    <x v="0"/>
    <x v="2"/>
    <x v="0"/>
    <x v="0"/>
  </r>
  <r>
    <n v="243"/>
    <x v="1"/>
    <x v="4"/>
    <x v="4"/>
    <x v="1"/>
    <n v="710.4"/>
    <n v="13"/>
    <n v="4.0999999999999996"/>
    <x v="0"/>
    <x v="21"/>
    <x v="2"/>
    <x v="1"/>
    <x v="1"/>
    <x v="3"/>
  </r>
  <r>
    <n v="244"/>
    <x v="0"/>
    <x v="5"/>
    <x v="5"/>
    <x v="2"/>
    <n v="430.8"/>
    <n v="7"/>
    <n v="3.4"/>
    <x v="1"/>
    <x v="22"/>
    <x v="2"/>
    <x v="0"/>
    <x v="2"/>
    <x v="4"/>
  </r>
  <r>
    <n v="245"/>
    <x v="0"/>
    <x v="6"/>
    <x v="0"/>
    <x v="0"/>
    <n v="1130.5999999999999"/>
    <n v="15"/>
    <n v="4.5"/>
    <x v="0"/>
    <x v="33"/>
    <x v="0"/>
    <x v="0"/>
    <x v="0"/>
    <x v="0"/>
  </r>
  <r>
    <n v="246"/>
    <x v="1"/>
    <x v="7"/>
    <x v="1"/>
    <x v="1"/>
    <n v="820.9"/>
    <n v="12"/>
    <n v="4.3"/>
    <x v="1"/>
    <x v="3"/>
    <x v="1"/>
    <x v="2"/>
    <x v="1"/>
    <x v="1"/>
  </r>
  <r>
    <n v="247"/>
    <x v="0"/>
    <x v="8"/>
    <x v="2"/>
    <x v="2"/>
    <n v="480.25"/>
    <n v="9"/>
    <n v="3.6"/>
    <x v="0"/>
    <x v="14"/>
    <x v="2"/>
    <x v="1"/>
    <x v="2"/>
    <x v="2"/>
  </r>
  <r>
    <n v="248"/>
    <x v="1"/>
    <x v="9"/>
    <x v="3"/>
    <x v="0"/>
    <n v="1490.1"/>
    <n v="21"/>
    <n v="4.9000000000000004"/>
    <x v="1"/>
    <x v="9"/>
    <x v="0"/>
    <x v="2"/>
    <x v="0"/>
    <x v="3"/>
  </r>
  <r>
    <n v="249"/>
    <x v="1"/>
    <x v="10"/>
    <x v="4"/>
    <x v="1"/>
    <n v="680.3"/>
    <n v="10"/>
    <n v="3.8"/>
    <x v="0"/>
    <x v="34"/>
    <x v="2"/>
    <x v="1"/>
    <x v="1"/>
    <x v="0"/>
  </r>
  <r>
    <n v="250"/>
    <x v="0"/>
    <x v="11"/>
    <x v="5"/>
    <x v="2"/>
    <n v="470.5"/>
    <n v="8"/>
    <n v="3"/>
    <x v="1"/>
    <x v="1"/>
    <x v="1"/>
    <x v="0"/>
    <x v="2"/>
    <x v="1"/>
  </r>
  <r>
    <n v="251"/>
    <x v="0"/>
    <x v="3"/>
    <x v="0"/>
    <x v="0"/>
    <n v="1180.8"/>
    <n v="16"/>
    <n v="4.7"/>
    <x v="0"/>
    <x v="27"/>
    <x v="0"/>
    <x v="0"/>
    <x v="0"/>
    <x v="0"/>
  </r>
  <r>
    <n v="252"/>
    <x v="1"/>
    <x v="1"/>
    <x v="1"/>
    <x v="1"/>
    <n v="790.2"/>
    <n v="11"/>
    <n v="4"/>
    <x v="1"/>
    <x v="13"/>
    <x v="1"/>
    <x v="2"/>
    <x v="1"/>
    <x v="1"/>
  </r>
  <r>
    <n v="253"/>
    <x v="0"/>
    <x v="2"/>
    <x v="2"/>
    <x v="2"/>
    <n v="505.75"/>
    <n v="10"/>
    <n v="3.3"/>
    <x v="0"/>
    <x v="24"/>
    <x v="2"/>
    <x v="1"/>
    <x v="1"/>
    <x v="2"/>
  </r>
  <r>
    <n v="254"/>
    <x v="1"/>
    <x v="3"/>
    <x v="3"/>
    <x v="0"/>
    <n v="1470.5"/>
    <n v="20"/>
    <n v="4.8"/>
    <x v="1"/>
    <x v="20"/>
    <x v="0"/>
    <x v="2"/>
    <x v="0"/>
    <x v="0"/>
  </r>
  <r>
    <n v="255"/>
    <x v="1"/>
    <x v="4"/>
    <x v="4"/>
    <x v="1"/>
    <n v="710.4"/>
    <n v="13"/>
    <n v="4.0999999999999996"/>
    <x v="0"/>
    <x v="21"/>
    <x v="2"/>
    <x v="1"/>
    <x v="1"/>
    <x v="3"/>
  </r>
  <r>
    <n v="256"/>
    <x v="0"/>
    <x v="5"/>
    <x v="5"/>
    <x v="2"/>
    <n v="430.8"/>
    <n v="7"/>
    <n v="3.4"/>
    <x v="1"/>
    <x v="22"/>
    <x v="1"/>
    <x v="0"/>
    <x v="2"/>
    <x v="4"/>
  </r>
  <r>
    <n v="257"/>
    <x v="0"/>
    <x v="6"/>
    <x v="0"/>
    <x v="0"/>
    <n v="1140.5999999999999"/>
    <n v="15"/>
    <n v="4.5999999999999996"/>
    <x v="0"/>
    <x v="23"/>
    <x v="0"/>
    <x v="0"/>
    <x v="0"/>
    <x v="0"/>
  </r>
  <r>
    <n v="258"/>
    <x v="1"/>
    <x v="7"/>
    <x v="1"/>
    <x v="1"/>
    <n v="810.9"/>
    <n v="12"/>
    <n v="4.3"/>
    <x v="1"/>
    <x v="20"/>
    <x v="1"/>
    <x v="2"/>
    <x v="1"/>
    <x v="1"/>
  </r>
  <r>
    <n v="259"/>
    <x v="0"/>
    <x v="8"/>
    <x v="2"/>
    <x v="2"/>
    <n v="485.25"/>
    <n v="9"/>
    <n v="3.6"/>
    <x v="0"/>
    <x v="24"/>
    <x v="2"/>
    <x v="1"/>
    <x v="2"/>
    <x v="2"/>
  </r>
  <r>
    <n v="260"/>
    <x v="1"/>
    <x v="9"/>
    <x v="3"/>
    <x v="0"/>
    <n v="1500.1"/>
    <n v="21"/>
    <n v="4.9000000000000004"/>
    <x v="1"/>
    <x v="25"/>
    <x v="0"/>
    <x v="2"/>
    <x v="0"/>
    <x v="3"/>
  </r>
  <r>
    <n v="261"/>
    <x v="1"/>
    <x v="10"/>
    <x v="4"/>
    <x v="1"/>
    <n v="670.3"/>
    <n v="10"/>
    <n v="3.8"/>
    <x v="0"/>
    <x v="26"/>
    <x v="2"/>
    <x v="1"/>
    <x v="1"/>
    <x v="0"/>
  </r>
  <r>
    <n v="262"/>
    <x v="0"/>
    <x v="11"/>
    <x v="5"/>
    <x v="2"/>
    <n v="460.5"/>
    <n v="8"/>
    <n v="3.1"/>
    <x v="1"/>
    <x v="27"/>
    <x v="1"/>
    <x v="0"/>
    <x v="2"/>
    <x v="1"/>
  </r>
  <r>
    <n v="263"/>
    <x v="0"/>
    <x v="3"/>
    <x v="0"/>
    <x v="0"/>
    <n v="1190.8"/>
    <n v="16"/>
    <n v="4.5"/>
    <x v="0"/>
    <x v="11"/>
    <x v="0"/>
    <x v="0"/>
    <x v="0"/>
    <x v="0"/>
  </r>
  <r>
    <n v="264"/>
    <x v="1"/>
    <x v="12"/>
    <x v="1"/>
    <x v="1"/>
    <n v="830.75"/>
    <n v="13"/>
    <n v="4.2"/>
    <x v="1"/>
    <x v="7"/>
    <x v="0"/>
    <x v="2"/>
    <x v="1"/>
    <x v="1"/>
  </r>
  <r>
    <n v="265"/>
    <x v="0"/>
    <x v="13"/>
    <x v="2"/>
    <x v="2"/>
    <n v="520.4"/>
    <n v="9"/>
    <n v="3.5"/>
    <x v="0"/>
    <x v="28"/>
    <x v="2"/>
    <x v="1"/>
    <x v="1"/>
    <x v="2"/>
  </r>
  <r>
    <n v="266"/>
    <x v="1"/>
    <x v="0"/>
    <x v="3"/>
    <x v="0"/>
    <n v="1370.2"/>
    <n v="18"/>
    <n v="4.7"/>
    <x v="1"/>
    <x v="25"/>
    <x v="0"/>
    <x v="2"/>
    <x v="0"/>
    <x v="0"/>
  </r>
  <r>
    <n v="267"/>
    <x v="1"/>
    <x v="14"/>
    <x v="4"/>
    <x v="1"/>
    <n v="690.6"/>
    <n v="12"/>
    <n v="3.9"/>
    <x v="0"/>
    <x v="29"/>
    <x v="2"/>
    <x v="1"/>
    <x v="1"/>
    <x v="3"/>
  </r>
  <r>
    <n v="268"/>
    <x v="0"/>
    <x v="15"/>
    <x v="5"/>
    <x v="2"/>
    <n v="440.9"/>
    <n v="8"/>
    <n v="3.2"/>
    <x v="1"/>
    <x v="30"/>
    <x v="1"/>
    <x v="0"/>
    <x v="2"/>
    <x v="4"/>
  </r>
  <r>
    <n v="269"/>
    <x v="0"/>
    <x v="10"/>
    <x v="0"/>
    <x v="0"/>
    <n v="1160.3"/>
    <n v="14"/>
    <n v="4.4000000000000004"/>
    <x v="0"/>
    <x v="5"/>
    <x v="0"/>
    <x v="0"/>
    <x v="0"/>
    <x v="0"/>
  </r>
  <r>
    <n v="270"/>
    <x v="1"/>
    <x v="1"/>
    <x v="1"/>
    <x v="1"/>
    <n v="800.2"/>
    <n v="11"/>
    <n v="4.0999999999999996"/>
    <x v="1"/>
    <x v="31"/>
    <x v="1"/>
    <x v="0"/>
    <x v="1"/>
    <x v="1"/>
  </r>
  <r>
    <n v="271"/>
    <x v="0"/>
    <x v="2"/>
    <x v="2"/>
    <x v="2"/>
    <n v="500.75"/>
    <n v="10"/>
    <n v="3.3"/>
    <x v="0"/>
    <x v="8"/>
    <x v="2"/>
    <x v="1"/>
    <x v="1"/>
    <x v="2"/>
  </r>
  <r>
    <n v="272"/>
    <x v="1"/>
    <x v="3"/>
    <x v="3"/>
    <x v="0"/>
    <n v="1460.5"/>
    <n v="20"/>
    <n v="4.8"/>
    <x v="1"/>
    <x v="3"/>
    <x v="0"/>
    <x v="2"/>
    <x v="0"/>
    <x v="0"/>
  </r>
  <r>
    <n v="273"/>
    <x v="1"/>
    <x v="4"/>
    <x v="4"/>
    <x v="1"/>
    <n v="700.4"/>
    <n v="13"/>
    <n v="4"/>
    <x v="0"/>
    <x v="32"/>
    <x v="2"/>
    <x v="1"/>
    <x v="1"/>
    <x v="3"/>
  </r>
  <r>
    <n v="274"/>
    <x v="0"/>
    <x v="5"/>
    <x v="5"/>
    <x v="2"/>
    <n v="430.8"/>
    <n v="7"/>
    <n v="3.4"/>
    <x v="1"/>
    <x v="22"/>
    <x v="1"/>
    <x v="0"/>
    <x v="2"/>
    <x v="4"/>
  </r>
  <r>
    <n v="275"/>
    <x v="0"/>
    <x v="6"/>
    <x v="0"/>
    <x v="0"/>
    <n v="1140.5999999999999"/>
    <n v="15"/>
    <n v="4.5"/>
    <x v="0"/>
    <x v="23"/>
    <x v="0"/>
    <x v="0"/>
    <x v="0"/>
    <x v="0"/>
  </r>
  <r>
    <n v="276"/>
    <x v="1"/>
    <x v="7"/>
    <x v="1"/>
    <x v="1"/>
    <n v="820.9"/>
    <n v="12"/>
    <n v="4.3"/>
    <x v="1"/>
    <x v="3"/>
    <x v="1"/>
    <x v="2"/>
    <x v="1"/>
    <x v="1"/>
  </r>
  <r>
    <n v="277"/>
    <x v="0"/>
    <x v="8"/>
    <x v="2"/>
    <x v="2"/>
    <n v="480.25"/>
    <n v="9"/>
    <n v="3.6"/>
    <x v="0"/>
    <x v="14"/>
    <x v="2"/>
    <x v="1"/>
    <x v="2"/>
    <x v="2"/>
  </r>
  <r>
    <n v="278"/>
    <x v="1"/>
    <x v="9"/>
    <x v="3"/>
    <x v="0"/>
    <n v="1490.1"/>
    <n v="21"/>
    <n v="4.9000000000000004"/>
    <x v="1"/>
    <x v="9"/>
    <x v="0"/>
    <x v="2"/>
    <x v="0"/>
    <x v="3"/>
  </r>
  <r>
    <n v="279"/>
    <x v="1"/>
    <x v="10"/>
    <x v="4"/>
    <x v="1"/>
    <n v="680.3"/>
    <n v="10"/>
    <n v="3.8"/>
    <x v="0"/>
    <x v="34"/>
    <x v="2"/>
    <x v="1"/>
    <x v="1"/>
    <x v="0"/>
  </r>
  <r>
    <n v="280"/>
    <x v="0"/>
    <x v="11"/>
    <x v="5"/>
    <x v="2"/>
    <n v="470.5"/>
    <n v="8"/>
    <n v="3"/>
    <x v="1"/>
    <x v="1"/>
    <x v="1"/>
    <x v="0"/>
    <x v="2"/>
    <x v="1"/>
  </r>
  <r>
    <n v="281"/>
    <x v="0"/>
    <x v="3"/>
    <x v="0"/>
    <x v="0"/>
    <n v="1180.8"/>
    <n v="16"/>
    <n v="4.7"/>
    <x v="0"/>
    <x v="27"/>
    <x v="0"/>
    <x v="0"/>
    <x v="0"/>
    <x v="0"/>
  </r>
  <r>
    <n v="282"/>
    <x v="1"/>
    <x v="1"/>
    <x v="1"/>
    <x v="1"/>
    <n v="790.2"/>
    <n v="11"/>
    <n v="4"/>
    <x v="1"/>
    <x v="13"/>
    <x v="1"/>
    <x v="2"/>
    <x v="1"/>
    <x v="1"/>
  </r>
  <r>
    <n v="283"/>
    <x v="0"/>
    <x v="2"/>
    <x v="2"/>
    <x v="2"/>
    <n v="505.75"/>
    <n v="10"/>
    <n v="3.3"/>
    <x v="0"/>
    <x v="24"/>
    <x v="2"/>
    <x v="1"/>
    <x v="1"/>
    <x v="2"/>
  </r>
  <r>
    <n v="284"/>
    <x v="1"/>
    <x v="3"/>
    <x v="3"/>
    <x v="0"/>
    <n v="1470.5"/>
    <n v="20"/>
    <n v="4.8"/>
    <x v="1"/>
    <x v="20"/>
    <x v="0"/>
    <x v="2"/>
    <x v="0"/>
    <x v="0"/>
  </r>
  <r>
    <n v="285"/>
    <x v="1"/>
    <x v="4"/>
    <x v="4"/>
    <x v="1"/>
    <n v="710.4"/>
    <n v="13"/>
    <n v="4.0999999999999996"/>
    <x v="0"/>
    <x v="21"/>
    <x v="2"/>
    <x v="1"/>
    <x v="1"/>
    <x v="3"/>
  </r>
  <r>
    <n v="286"/>
    <x v="0"/>
    <x v="5"/>
    <x v="5"/>
    <x v="2"/>
    <n v="430.8"/>
    <n v="7"/>
    <n v="3.4"/>
    <x v="1"/>
    <x v="22"/>
    <x v="1"/>
    <x v="0"/>
    <x v="2"/>
    <x v="4"/>
  </r>
  <r>
    <n v="287"/>
    <x v="0"/>
    <x v="6"/>
    <x v="0"/>
    <x v="0"/>
    <n v="1130.5999999999999"/>
    <n v="15"/>
    <n v="4.5"/>
    <x v="0"/>
    <x v="33"/>
    <x v="0"/>
    <x v="0"/>
    <x v="0"/>
    <x v="0"/>
  </r>
  <r>
    <n v="288"/>
    <x v="1"/>
    <x v="7"/>
    <x v="1"/>
    <x v="1"/>
    <n v="820.9"/>
    <n v="12"/>
    <n v="4.3"/>
    <x v="1"/>
    <x v="20"/>
    <x v="1"/>
    <x v="2"/>
    <x v="1"/>
    <x v="1"/>
  </r>
  <r>
    <n v="289"/>
    <x v="0"/>
    <x v="8"/>
    <x v="2"/>
    <x v="2"/>
    <n v="485.25"/>
    <n v="9"/>
    <n v="3.6"/>
    <x v="0"/>
    <x v="24"/>
    <x v="2"/>
    <x v="1"/>
    <x v="2"/>
    <x v="2"/>
  </r>
  <r>
    <n v="290"/>
    <x v="1"/>
    <x v="9"/>
    <x v="3"/>
    <x v="0"/>
    <n v="1500.1"/>
    <n v="21"/>
    <n v="4.9000000000000004"/>
    <x v="1"/>
    <x v="25"/>
    <x v="0"/>
    <x v="2"/>
    <x v="0"/>
    <x v="3"/>
  </r>
  <r>
    <n v="291"/>
    <x v="1"/>
    <x v="10"/>
    <x v="4"/>
    <x v="1"/>
    <n v="670.3"/>
    <n v="10"/>
    <n v="3.8"/>
    <x v="0"/>
    <x v="26"/>
    <x v="2"/>
    <x v="1"/>
    <x v="1"/>
    <x v="0"/>
  </r>
  <r>
    <n v="292"/>
    <x v="0"/>
    <x v="11"/>
    <x v="5"/>
    <x v="2"/>
    <n v="460.5"/>
    <n v="8"/>
    <n v="3.1"/>
    <x v="1"/>
    <x v="27"/>
    <x v="1"/>
    <x v="0"/>
    <x v="2"/>
    <x v="1"/>
  </r>
  <r>
    <n v="293"/>
    <x v="0"/>
    <x v="3"/>
    <x v="0"/>
    <x v="0"/>
    <n v="1190.8"/>
    <n v="16"/>
    <n v="4.5"/>
    <x v="0"/>
    <x v="11"/>
    <x v="0"/>
    <x v="0"/>
    <x v="0"/>
    <x v="0"/>
  </r>
  <r>
    <n v="294"/>
    <x v="1"/>
    <x v="12"/>
    <x v="1"/>
    <x v="1"/>
    <n v="830.75"/>
    <n v="13"/>
    <n v="4.2"/>
    <x v="1"/>
    <x v="7"/>
    <x v="0"/>
    <x v="2"/>
    <x v="1"/>
    <x v="1"/>
  </r>
  <r>
    <n v="295"/>
    <x v="0"/>
    <x v="13"/>
    <x v="2"/>
    <x v="2"/>
    <n v="520.4"/>
    <n v="9"/>
    <n v="3.5"/>
    <x v="0"/>
    <x v="28"/>
    <x v="2"/>
    <x v="1"/>
    <x v="1"/>
    <x v="2"/>
  </r>
  <r>
    <n v="296"/>
    <x v="1"/>
    <x v="0"/>
    <x v="3"/>
    <x v="0"/>
    <n v="1370.2"/>
    <n v="18"/>
    <n v="4.7"/>
    <x v="1"/>
    <x v="25"/>
    <x v="0"/>
    <x v="2"/>
    <x v="0"/>
    <x v="0"/>
  </r>
  <r>
    <n v="297"/>
    <x v="1"/>
    <x v="14"/>
    <x v="4"/>
    <x v="1"/>
    <n v="690.6"/>
    <n v="12"/>
    <n v="3.9"/>
    <x v="0"/>
    <x v="29"/>
    <x v="2"/>
    <x v="1"/>
    <x v="1"/>
    <x v="3"/>
  </r>
  <r>
    <n v="298"/>
    <x v="0"/>
    <x v="15"/>
    <x v="5"/>
    <x v="2"/>
    <n v="440.9"/>
    <n v="8"/>
    <n v="3.2"/>
    <x v="1"/>
    <x v="30"/>
    <x v="1"/>
    <x v="0"/>
    <x v="2"/>
    <x v="4"/>
  </r>
  <r>
    <n v="299"/>
    <x v="0"/>
    <x v="10"/>
    <x v="0"/>
    <x v="0"/>
    <n v="1160.3"/>
    <n v="14"/>
    <n v="4.4000000000000004"/>
    <x v="0"/>
    <x v="5"/>
    <x v="0"/>
    <x v="0"/>
    <x v="0"/>
    <x v="0"/>
  </r>
  <r>
    <n v="300"/>
    <x v="1"/>
    <x v="1"/>
    <x v="1"/>
    <x v="1"/>
    <n v="800.2"/>
    <n v="11"/>
    <n v="4.0999999999999996"/>
    <x v="1"/>
    <x v="31"/>
    <x v="1"/>
    <x v="0"/>
    <x v="1"/>
    <x v="1"/>
  </r>
  <r>
    <n v="301"/>
    <x v="1"/>
    <x v="11"/>
    <x v="3"/>
    <x v="0"/>
    <n v="1420.8"/>
    <n v="19"/>
    <n v="4.5999999999999996"/>
    <x v="1"/>
    <x v="15"/>
    <x v="0"/>
    <x v="2"/>
    <x v="0"/>
    <x v="1"/>
  </r>
  <r>
    <n v="302"/>
    <x v="0"/>
    <x v="0"/>
    <x v="4"/>
    <x v="1"/>
    <n v="730.4"/>
    <n v="14"/>
    <n v="4"/>
    <x v="0"/>
    <x v="35"/>
    <x v="2"/>
    <x v="1"/>
    <x v="1"/>
    <x v="0"/>
  </r>
  <r>
    <n v="303"/>
    <x v="0"/>
    <x v="7"/>
    <x v="5"/>
    <x v="2"/>
    <n v="450.6"/>
    <n v="7"/>
    <n v="3.3"/>
    <x v="1"/>
    <x v="12"/>
    <x v="1"/>
    <x v="0"/>
    <x v="2"/>
    <x v="1"/>
  </r>
  <r>
    <n v="304"/>
    <x v="1"/>
    <x v="6"/>
    <x v="0"/>
    <x v="0"/>
    <n v="1210.5999999999999"/>
    <n v="17"/>
    <n v="4.8"/>
    <x v="0"/>
    <x v="1"/>
    <x v="0"/>
    <x v="0"/>
    <x v="0"/>
    <x v="0"/>
  </r>
  <r>
    <n v="305"/>
    <x v="1"/>
    <x v="4"/>
    <x v="1"/>
    <x v="1"/>
    <n v="780.9"/>
    <n v="11"/>
    <n v="4.2"/>
    <x v="1"/>
    <x v="18"/>
    <x v="1"/>
    <x v="0"/>
    <x v="1"/>
    <x v="3"/>
  </r>
  <r>
    <n v="306"/>
    <x v="0"/>
    <x v="13"/>
    <x v="2"/>
    <x v="2"/>
    <n v="495.25"/>
    <n v="10"/>
    <n v="3.5"/>
    <x v="0"/>
    <x v="36"/>
    <x v="2"/>
    <x v="1"/>
    <x v="2"/>
    <x v="2"/>
  </r>
  <r>
    <n v="307"/>
    <x v="1"/>
    <x v="0"/>
    <x v="3"/>
    <x v="0"/>
    <n v="1390.2"/>
    <n v="18"/>
    <n v="4.7"/>
    <x v="1"/>
    <x v="9"/>
    <x v="0"/>
    <x v="2"/>
    <x v="0"/>
    <x v="0"/>
  </r>
  <r>
    <n v="308"/>
    <x v="1"/>
    <x v="14"/>
    <x v="4"/>
    <x v="1"/>
    <n v="670.6"/>
    <n v="12"/>
    <n v="3.9"/>
    <x v="0"/>
    <x v="37"/>
    <x v="2"/>
    <x v="1"/>
    <x v="1"/>
    <x v="3"/>
  </r>
  <r>
    <n v="309"/>
    <x v="0"/>
    <x v="15"/>
    <x v="5"/>
    <x v="2"/>
    <n v="460.9"/>
    <n v="8"/>
    <n v="3.2"/>
    <x v="1"/>
    <x v="0"/>
    <x v="1"/>
    <x v="0"/>
    <x v="2"/>
    <x v="4"/>
  </r>
  <r>
    <n v="310"/>
    <x v="0"/>
    <x v="10"/>
    <x v="0"/>
    <x v="0"/>
    <n v="1170.3"/>
    <n v="14"/>
    <n v="4.5"/>
    <x v="0"/>
    <x v="12"/>
    <x v="0"/>
    <x v="0"/>
    <x v="0"/>
    <x v="0"/>
  </r>
  <r>
    <n v="311"/>
    <x v="1"/>
    <x v="1"/>
    <x v="1"/>
    <x v="1"/>
    <n v="810.2"/>
    <n v="11"/>
    <n v="4"/>
    <x v="1"/>
    <x v="7"/>
    <x v="1"/>
    <x v="2"/>
    <x v="1"/>
    <x v="1"/>
  </r>
  <r>
    <n v="312"/>
    <x v="0"/>
    <x v="2"/>
    <x v="2"/>
    <x v="2"/>
    <n v="515.75"/>
    <n v="9"/>
    <n v="3.3"/>
    <x v="0"/>
    <x v="14"/>
    <x v="2"/>
    <x v="1"/>
    <x v="1"/>
    <x v="2"/>
  </r>
  <r>
    <n v="313"/>
    <x v="1"/>
    <x v="3"/>
    <x v="3"/>
    <x v="0"/>
    <n v="1450.5"/>
    <n v="20"/>
    <n v="4.8"/>
    <x v="1"/>
    <x v="3"/>
    <x v="0"/>
    <x v="2"/>
    <x v="0"/>
    <x v="0"/>
  </r>
  <r>
    <n v="314"/>
    <x v="1"/>
    <x v="4"/>
    <x v="4"/>
    <x v="1"/>
    <n v="690.4"/>
    <n v="13"/>
    <n v="4.0999999999999996"/>
    <x v="0"/>
    <x v="38"/>
    <x v="2"/>
    <x v="1"/>
    <x v="1"/>
    <x v="3"/>
  </r>
  <r>
    <n v="315"/>
    <x v="0"/>
    <x v="5"/>
    <x v="5"/>
    <x v="2"/>
    <n v="420.8"/>
    <n v="7"/>
    <n v="3.4"/>
    <x v="1"/>
    <x v="30"/>
    <x v="1"/>
    <x v="0"/>
    <x v="2"/>
    <x v="4"/>
  </r>
  <r>
    <n v="316"/>
    <x v="0"/>
    <x v="6"/>
    <x v="0"/>
    <x v="0"/>
    <n v="1130.5999999999999"/>
    <n v="15"/>
    <n v="4.5"/>
    <x v="0"/>
    <x v="33"/>
    <x v="0"/>
    <x v="0"/>
    <x v="0"/>
    <x v="0"/>
  </r>
  <r>
    <n v="317"/>
    <x v="1"/>
    <x v="7"/>
    <x v="1"/>
    <x v="1"/>
    <n v="820.9"/>
    <n v="12"/>
    <n v="4.3"/>
    <x v="1"/>
    <x v="20"/>
    <x v="1"/>
    <x v="2"/>
    <x v="1"/>
    <x v="1"/>
  </r>
  <r>
    <n v="318"/>
    <x v="0"/>
    <x v="8"/>
    <x v="2"/>
    <x v="2"/>
    <n v="480.25"/>
    <n v="9"/>
    <n v="3.6"/>
    <x v="0"/>
    <x v="24"/>
    <x v="2"/>
    <x v="1"/>
    <x v="2"/>
    <x v="2"/>
  </r>
  <r>
    <n v="319"/>
    <x v="1"/>
    <x v="9"/>
    <x v="3"/>
    <x v="0"/>
    <n v="1490.1"/>
    <n v="21"/>
    <n v="4.9000000000000004"/>
    <x v="1"/>
    <x v="9"/>
    <x v="0"/>
    <x v="2"/>
    <x v="0"/>
    <x v="3"/>
  </r>
  <r>
    <n v="320"/>
    <x v="1"/>
    <x v="10"/>
    <x v="4"/>
    <x v="1"/>
    <n v="680.3"/>
    <n v="10"/>
    <n v="3.8"/>
    <x v="0"/>
    <x v="34"/>
    <x v="2"/>
    <x v="1"/>
    <x v="1"/>
    <x v="0"/>
  </r>
  <r>
    <n v="321"/>
    <x v="0"/>
    <x v="11"/>
    <x v="5"/>
    <x v="2"/>
    <n v="470.5"/>
    <n v="8"/>
    <n v="3"/>
    <x v="1"/>
    <x v="1"/>
    <x v="1"/>
    <x v="0"/>
    <x v="2"/>
    <x v="1"/>
  </r>
  <r>
    <n v="322"/>
    <x v="0"/>
    <x v="3"/>
    <x v="0"/>
    <x v="0"/>
    <n v="1180.8"/>
    <n v="16"/>
    <n v="4.7"/>
    <x v="0"/>
    <x v="27"/>
    <x v="0"/>
    <x v="0"/>
    <x v="0"/>
    <x v="0"/>
  </r>
  <r>
    <n v="323"/>
    <x v="1"/>
    <x v="1"/>
    <x v="1"/>
    <x v="1"/>
    <n v="790.2"/>
    <n v="11"/>
    <n v="4"/>
    <x v="1"/>
    <x v="13"/>
    <x v="1"/>
    <x v="2"/>
    <x v="1"/>
    <x v="1"/>
  </r>
  <r>
    <n v="324"/>
    <x v="0"/>
    <x v="2"/>
    <x v="2"/>
    <x v="2"/>
    <n v="505.75"/>
    <n v="10"/>
    <n v="3.3"/>
    <x v="0"/>
    <x v="24"/>
    <x v="2"/>
    <x v="1"/>
    <x v="1"/>
    <x v="2"/>
  </r>
  <r>
    <n v="325"/>
    <x v="1"/>
    <x v="3"/>
    <x v="3"/>
    <x v="0"/>
    <n v="1470.5"/>
    <n v="20"/>
    <n v="4.8"/>
    <x v="1"/>
    <x v="20"/>
    <x v="0"/>
    <x v="2"/>
    <x v="0"/>
    <x v="0"/>
  </r>
  <r>
    <n v="326"/>
    <x v="1"/>
    <x v="4"/>
    <x v="4"/>
    <x v="1"/>
    <n v="710.4"/>
    <n v="13"/>
    <n v="4.0999999999999996"/>
    <x v="0"/>
    <x v="21"/>
    <x v="2"/>
    <x v="1"/>
    <x v="1"/>
    <x v="3"/>
  </r>
  <r>
    <n v="327"/>
    <x v="0"/>
    <x v="5"/>
    <x v="5"/>
    <x v="2"/>
    <n v="430.8"/>
    <n v="7"/>
    <n v="3.4"/>
    <x v="1"/>
    <x v="22"/>
    <x v="1"/>
    <x v="0"/>
    <x v="2"/>
    <x v="4"/>
  </r>
  <r>
    <n v="328"/>
    <x v="0"/>
    <x v="6"/>
    <x v="0"/>
    <x v="0"/>
    <n v="1140.5999999999999"/>
    <n v="15"/>
    <n v="4.5"/>
    <x v="0"/>
    <x v="23"/>
    <x v="0"/>
    <x v="0"/>
    <x v="0"/>
    <x v="0"/>
  </r>
  <r>
    <n v="329"/>
    <x v="1"/>
    <x v="7"/>
    <x v="1"/>
    <x v="1"/>
    <n v="820.9"/>
    <n v="12"/>
    <n v="4.3"/>
    <x v="1"/>
    <x v="20"/>
    <x v="1"/>
    <x v="2"/>
    <x v="1"/>
    <x v="1"/>
  </r>
  <r>
    <n v="330"/>
    <x v="0"/>
    <x v="8"/>
    <x v="2"/>
    <x v="2"/>
    <n v="485.25"/>
    <n v="9"/>
    <n v="3.6"/>
    <x v="0"/>
    <x v="24"/>
    <x v="2"/>
    <x v="1"/>
    <x v="2"/>
    <x v="2"/>
  </r>
  <r>
    <n v="331"/>
    <x v="1"/>
    <x v="9"/>
    <x v="3"/>
    <x v="0"/>
    <n v="1500.1"/>
    <n v="21"/>
    <n v="4.9000000000000004"/>
    <x v="1"/>
    <x v="25"/>
    <x v="0"/>
    <x v="2"/>
    <x v="0"/>
    <x v="3"/>
  </r>
  <r>
    <n v="332"/>
    <x v="1"/>
    <x v="10"/>
    <x v="4"/>
    <x v="1"/>
    <n v="670.3"/>
    <n v="10"/>
    <n v="3.8"/>
    <x v="0"/>
    <x v="26"/>
    <x v="2"/>
    <x v="1"/>
    <x v="1"/>
    <x v="0"/>
  </r>
  <r>
    <n v="333"/>
    <x v="0"/>
    <x v="11"/>
    <x v="5"/>
    <x v="2"/>
    <n v="460.5"/>
    <n v="8"/>
    <n v="3.1"/>
    <x v="1"/>
    <x v="27"/>
    <x v="1"/>
    <x v="0"/>
    <x v="2"/>
    <x v="1"/>
  </r>
  <r>
    <n v="334"/>
    <x v="0"/>
    <x v="3"/>
    <x v="0"/>
    <x v="0"/>
    <n v="1190.8"/>
    <n v="16"/>
    <n v="4.5"/>
    <x v="0"/>
    <x v="11"/>
    <x v="0"/>
    <x v="0"/>
    <x v="0"/>
    <x v="0"/>
  </r>
  <r>
    <n v="335"/>
    <x v="1"/>
    <x v="12"/>
    <x v="1"/>
    <x v="1"/>
    <n v="830.75"/>
    <n v="13"/>
    <n v="4.2"/>
    <x v="1"/>
    <x v="7"/>
    <x v="0"/>
    <x v="2"/>
    <x v="1"/>
    <x v="1"/>
  </r>
  <r>
    <n v="336"/>
    <x v="0"/>
    <x v="13"/>
    <x v="2"/>
    <x v="2"/>
    <n v="520.4"/>
    <n v="9"/>
    <n v="3.5"/>
    <x v="0"/>
    <x v="28"/>
    <x v="2"/>
    <x v="1"/>
    <x v="1"/>
    <x v="2"/>
  </r>
  <r>
    <n v="337"/>
    <x v="1"/>
    <x v="0"/>
    <x v="3"/>
    <x v="0"/>
    <n v="1370.2"/>
    <n v="18"/>
    <n v="4.7"/>
    <x v="1"/>
    <x v="25"/>
    <x v="0"/>
    <x v="2"/>
    <x v="0"/>
    <x v="0"/>
  </r>
  <r>
    <n v="338"/>
    <x v="1"/>
    <x v="14"/>
    <x v="4"/>
    <x v="1"/>
    <n v="690.6"/>
    <n v="12"/>
    <n v="3.9"/>
    <x v="0"/>
    <x v="29"/>
    <x v="2"/>
    <x v="1"/>
    <x v="1"/>
    <x v="3"/>
  </r>
  <r>
    <n v="339"/>
    <x v="0"/>
    <x v="15"/>
    <x v="5"/>
    <x v="2"/>
    <n v="440.9"/>
    <n v="8"/>
    <n v="3.2"/>
    <x v="1"/>
    <x v="30"/>
    <x v="1"/>
    <x v="0"/>
    <x v="2"/>
    <x v="4"/>
  </r>
  <r>
    <n v="340"/>
    <x v="0"/>
    <x v="10"/>
    <x v="0"/>
    <x v="0"/>
    <n v="1160.3"/>
    <n v="14"/>
    <n v="4.4000000000000004"/>
    <x v="0"/>
    <x v="5"/>
    <x v="0"/>
    <x v="0"/>
    <x v="0"/>
    <x v="0"/>
  </r>
  <r>
    <n v="341"/>
    <x v="1"/>
    <x v="1"/>
    <x v="1"/>
    <x v="1"/>
    <n v="800.2"/>
    <n v="11"/>
    <n v="4.0999999999999996"/>
    <x v="1"/>
    <x v="31"/>
    <x v="1"/>
    <x v="0"/>
    <x v="1"/>
    <x v="1"/>
  </r>
  <r>
    <n v="342"/>
    <x v="0"/>
    <x v="2"/>
    <x v="2"/>
    <x v="2"/>
    <n v="525.75"/>
    <n v="9"/>
    <n v="3.3"/>
    <x v="0"/>
    <x v="8"/>
    <x v="2"/>
    <x v="1"/>
    <x v="1"/>
    <x v="2"/>
  </r>
  <r>
    <n v="343"/>
    <x v="1"/>
    <x v="3"/>
    <x v="3"/>
    <x v="0"/>
    <n v="1460.5"/>
    <n v="20"/>
    <n v="4.8"/>
    <x v="1"/>
    <x v="15"/>
    <x v="0"/>
    <x v="2"/>
    <x v="0"/>
    <x v="0"/>
  </r>
  <r>
    <n v="344"/>
    <x v="1"/>
    <x v="4"/>
    <x v="4"/>
    <x v="1"/>
    <n v="720.4"/>
    <n v="13"/>
    <n v="4"/>
    <x v="0"/>
    <x v="4"/>
    <x v="2"/>
    <x v="1"/>
    <x v="1"/>
    <x v="3"/>
  </r>
  <r>
    <n v="345"/>
    <x v="0"/>
    <x v="5"/>
    <x v="5"/>
    <x v="2"/>
    <n v="440.8"/>
    <n v="7"/>
    <n v="3.2"/>
    <x v="1"/>
    <x v="0"/>
    <x v="1"/>
    <x v="0"/>
    <x v="2"/>
    <x v="4"/>
  </r>
  <r>
    <n v="346"/>
    <x v="0"/>
    <x v="6"/>
    <x v="0"/>
    <x v="0"/>
    <n v="1150.5999999999999"/>
    <n v="15"/>
    <n v="4.5"/>
    <x v="0"/>
    <x v="6"/>
    <x v="0"/>
    <x v="0"/>
    <x v="0"/>
    <x v="0"/>
  </r>
  <r>
    <n v="347"/>
    <x v="1"/>
    <x v="7"/>
    <x v="1"/>
    <x v="1"/>
    <n v="830.9"/>
    <n v="12"/>
    <n v="4.3"/>
    <x v="1"/>
    <x v="7"/>
    <x v="1"/>
    <x v="2"/>
    <x v="1"/>
    <x v="1"/>
  </r>
  <r>
    <n v="348"/>
    <x v="0"/>
    <x v="8"/>
    <x v="2"/>
    <x v="2"/>
    <n v="490.25"/>
    <n v="9"/>
    <n v="3.6"/>
    <x v="0"/>
    <x v="8"/>
    <x v="2"/>
    <x v="1"/>
    <x v="2"/>
    <x v="2"/>
  </r>
  <r>
    <n v="349"/>
    <x v="1"/>
    <x v="9"/>
    <x v="3"/>
    <x v="0"/>
    <n v="1480.1"/>
    <n v="21"/>
    <n v="4.9000000000000004"/>
    <x v="1"/>
    <x v="25"/>
    <x v="0"/>
    <x v="2"/>
    <x v="0"/>
    <x v="3"/>
  </r>
  <r>
    <n v="350"/>
    <x v="1"/>
    <x v="10"/>
    <x v="4"/>
    <x v="1"/>
    <n v="690.3"/>
    <n v="10"/>
    <n v="3.8"/>
    <x v="0"/>
    <x v="10"/>
    <x v="2"/>
    <x v="1"/>
    <x v="1"/>
    <x v="0"/>
  </r>
  <r>
    <n v="351"/>
    <x v="0"/>
    <x v="11"/>
    <x v="5"/>
    <x v="2"/>
    <n v="480.5"/>
    <n v="8"/>
    <n v="3.1"/>
    <x v="1"/>
    <x v="11"/>
    <x v="1"/>
    <x v="0"/>
    <x v="2"/>
    <x v="1"/>
  </r>
  <r>
    <n v="352"/>
    <x v="0"/>
    <x v="3"/>
    <x v="0"/>
    <x v="0"/>
    <n v="1170.8"/>
    <n v="16"/>
    <n v="4.7"/>
    <x v="0"/>
    <x v="12"/>
    <x v="0"/>
    <x v="0"/>
    <x v="0"/>
    <x v="0"/>
  </r>
  <r>
    <n v="353"/>
    <x v="1"/>
    <x v="1"/>
    <x v="1"/>
    <x v="1"/>
    <n v="790.2"/>
    <n v="11"/>
    <n v="4"/>
    <x v="1"/>
    <x v="13"/>
    <x v="1"/>
    <x v="2"/>
    <x v="1"/>
    <x v="1"/>
  </r>
  <r>
    <n v="354"/>
    <x v="0"/>
    <x v="2"/>
    <x v="2"/>
    <x v="2"/>
    <n v="510.75"/>
    <n v="10"/>
    <n v="3.3"/>
    <x v="0"/>
    <x v="19"/>
    <x v="2"/>
    <x v="1"/>
    <x v="1"/>
    <x v="2"/>
  </r>
  <r>
    <n v="355"/>
    <x v="1"/>
    <x v="3"/>
    <x v="3"/>
    <x v="0"/>
    <n v="1440.5"/>
    <n v="19"/>
    <n v="4.5999999999999996"/>
    <x v="1"/>
    <x v="3"/>
    <x v="0"/>
    <x v="2"/>
    <x v="0"/>
    <x v="0"/>
  </r>
  <r>
    <n v="356"/>
    <x v="1"/>
    <x v="4"/>
    <x v="4"/>
    <x v="1"/>
    <n v="700.4"/>
    <n v="13"/>
    <n v="4.0999999999999996"/>
    <x v="0"/>
    <x v="39"/>
    <x v="2"/>
    <x v="1"/>
    <x v="1"/>
    <x v="3"/>
  </r>
  <r>
    <n v="357"/>
    <x v="0"/>
    <x v="5"/>
    <x v="5"/>
    <x v="2"/>
    <n v="410.8"/>
    <n v="7"/>
    <n v="3.4"/>
    <x v="1"/>
    <x v="33"/>
    <x v="1"/>
    <x v="0"/>
    <x v="2"/>
    <x v="4"/>
  </r>
  <r>
    <n v="358"/>
    <x v="0"/>
    <x v="6"/>
    <x v="0"/>
    <x v="0"/>
    <n v="1160.5999999999999"/>
    <n v="15"/>
    <n v="4.5"/>
    <x v="0"/>
    <x v="17"/>
    <x v="0"/>
    <x v="0"/>
    <x v="0"/>
    <x v="0"/>
  </r>
  <r>
    <n v="359"/>
    <x v="1"/>
    <x v="7"/>
    <x v="1"/>
    <x v="1"/>
    <n v="810.9"/>
    <n v="12"/>
    <n v="4.3"/>
    <x v="1"/>
    <x v="7"/>
    <x v="1"/>
    <x v="2"/>
    <x v="1"/>
    <x v="1"/>
  </r>
  <r>
    <n v="360"/>
    <x v="0"/>
    <x v="8"/>
    <x v="2"/>
    <x v="2"/>
    <n v="495.25"/>
    <n v="9"/>
    <n v="3.6"/>
    <x v="0"/>
    <x v="19"/>
    <x v="2"/>
    <x v="1"/>
    <x v="2"/>
    <x v="2"/>
  </r>
  <r>
    <n v="361"/>
    <x v="1"/>
    <x v="9"/>
    <x v="3"/>
    <x v="0"/>
    <n v="1490.1"/>
    <n v="21"/>
    <n v="4.9000000000000004"/>
    <x v="1"/>
    <x v="25"/>
    <x v="0"/>
    <x v="2"/>
    <x v="0"/>
    <x v="3"/>
  </r>
  <r>
    <n v="362"/>
    <x v="1"/>
    <x v="10"/>
    <x v="4"/>
    <x v="1"/>
    <n v="660.3"/>
    <n v="10"/>
    <n v="3.8"/>
    <x v="0"/>
    <x v="36"/>
    <x v="2"/>
    <x v="1"/>
    <x v="1"/>
    <x v="0"/>
  </r>
  <r>
    <n v="363"/>
    <x v="0"/>
    <x v="11"/>
    <x v="5"/>
    <x v="2"/>
    <n v="430.5"/>
    <n v="8"/>
    <n v="3.1"/>
    <x v="1"/>
    <x v="12"/>
    <x v="1"/>
    <x v="0"/>
    <x v="2"/>
    <x v="1"/>
  </r>
  <r>
    <n v="364"/>
    <x v="0"/>
    <x v="3"/>
    <x v="0"/>
    <x v="0"/>
    <n v="1200.8"/>
    <n v="16"/>
    <n v="4.7"/>
    <x v="0"/>
    <x v="5"/>
    <x v="0"/>
    <x v="0"/>
    <x v="0"/>
    <x v="0"/>
  </r>
  <r>
    <n v="365"/>
    <x v="1"/>
    <x v="1"/>
    <x v="1"/>
    <x v="1"/>
    <n v="780.2"/>
    <n v="11"/>
    <n v="4.0999999999999996"/>
    <x v="1"/>
    <x v="18"/>
    <x v="1"/>
    <x v="0"/>
    <x v="1"/>
    <x v="1"/>
  </r>
  <r>
    <n v="366"/>
    <x v="0"/>
    <x v="2"/>
    <x v="2"/>
    <x v="2"/>
    <n v="505.75"/>
    <n v="10"/>
    <n v="3.3"/>
    <x v="0"/>
    <x v="2"/>
    <x v="2"/>
    <x v="1"/>
    <x v="1"/>
    <x v="2"/>
  </r>
  <r>
    <n v="367"/>
    <x v="1"/>
    <x v="3"/>
    <x v="3"/>
    <x v="0"/>
    <n v="1460.5"/>
    <n v="20"/>
    <n v="4.8"/>
    <x v="1"/>
    <x v="20"/>
    <x v="0"/>
    <x v="2"/>
    <x v="0"/>
    <x v="0"/>
  </r>
  <r>
    <n v="368"/>
    <x v="1"/>
    <x v="4"/>
    <x v="4"/>
    <x v="1"/>
    <n v="710.4"/>
    <n v="13"/>
    <n v="4.0999999999999996"/>
    <x v="0"/>
    <x v="40"/>
    <x v="2"/>
    <x v="1"/>
    <x v="1"/>
    <x v="3"/>
  </r>
  <r>
    <n v="369"/>
    <x v="0"/>
    <x v="5"/>
    <x v="5"/>
    <x v="2"/>
    <n v="450.8"/>
    <n v="7"/>
    <n v="3.4"/>
    <x v="1"/>
    <x v="30"/>
    <x v="1"/>
    <x v="0"/>
    <x v="2"/>
    <x v="4"/>
  </r>
  <r>
    <n v="370"/>
    <x v="0"/>
    <x v="6"/>
    <x v="0"/>
    <x v="0"/>
    <n v="1140.5999999999999"/>
    <n v="15"/>
    <n v="4.5"/>
    <x v="0"/>
    <x v="41"/>
    <x v="0"/>
    <x v="0"/>
    <x v="0"/>
    <x v="0"/>
  </r>
  <r>
    <n v="371"/>
    <x v="1"/>
    <x v="7"/>
    <x v="1"/>
    <x v="1"/>
    <n v="800.9"/>
    <n v="12"/>
    <n v="4.0999999999999996"/>
    <x v="1"/>
    <x v="31"/>
    <x v="1"/>
    <x v="0"/>
    <x v="1"/>
    <x v="1"/>
  </r>
  <r>
    <n v="372"/>
    <x v="0"/>
    <x v="8"/>
    <x v="2"/>
    <x v="2"/>
    <n v="475.25"/>
    <n v="9"/>
    <n v="3.6"/>
    <x v="0"/>
    <x v="2"/>
    <x v="2"/>
    <x v="1"/>
    <x v="2"/>
    <x v="2"/>
  </r>
  <r>
    <n v="373"/>
    <x v="1"/>
    <x v="9"/>
    <x v="3"/>
    <x v="0"/>
    <n v="1480.1"/>
    <n v="21"/>
    <n v="4.9000000000000004"/>
    <x v="1"/>
    <x v="15"/>
    <x v="0"/>
    <x v="2"/>
    <x v="0"/>
    <x v="3"/>
  </r>
  <r>
    <n v="374"/>
    <x v="1"/>
    <x v="10"/>
    <x v="4"/>
    <x v="1"/>
    <n v="660.3"/>
    <n v="10"/>
    <n v="3.8"/>
    <x v="0"/>
    <x v="42"/>
    <x v="2"/>
    <x v="1"/>
    <x v="1"/>
    <x v="0"/>
  </r>
  <r>
    <n v="375"/>
    <x v="0"/>
    <x v="11"/>
    <x v="5"/>
    <x v="2"/>
    <n v="470.5"/>
    <n v="8"/>
    <n v="3"/>
    <x v="1"/>
    <x v="5"/>
    <x v="1"/>
    <x v="0"/>
    <x v="2"/>
    <x v="1"/>
  </r>
  <r>
    <n v="376"/>
    <x v="0"/>
    <x v="3"/>
    <x v="0"/>
    <x v="0"/>
    <n v="1190.8"/>
    <n v="16"/>
    <n v="4.5"/>
    <x v="0"/>
    <x v="22"/>
    <x v="0"/>
    <x v="0"/>
    <x v="0"/>
    <x v="0"/>
  </r>
  <r>
    <n v="377"/>
    <x v="1"/>
    <x v="12"/>
    <x v="1"/>
    <x v="1"/>
    <n v="770.2"/>
    <n v="11"/>
    <n v="4.2"/>
    <x v="1"/>
    <x v="1"/>
    <x v="1"/>
    <x v="0"/>
    <x v="1"/>
    <x v="1"/>
  </r>
  <r>
    <n v="378"/>
    <x v="0"/>
    <x v="2"/>
    <x v="2"/>
    <x v="2"/>
    <n v="515.75"/>
    <n v="10"/>
    <n v="3.3"/>
    <x v="0"/>
    <x v="43"/>
    <x v="2"/>
    <x v="1"/>
    <x v="1"/>
    <x v="2"/>
  </r>
  <r>
    <n v="379"/>
    <x v="1"/>
    <x v="3"/>
    <x v="3"/>
    <x v="0"/>
    <n v="1450.5"/>
    <n v="19"/>
    <n v="4.5999999999999996"/>
    <x v="1"/>
    <x v="3"/>
    <x v="0"/>
    <x v="2"/>
    <x v="0"/>
    <x v="0"/>
  </r>
  <r>
    <n v="380"/>
    <x v="1"/>
    <x v="4"/>
    <x v="4"/>
    <x v="1"/>
    <n v="710.4"/>
    <n v="13"/>
    <n v="4.0999999999999996"/>
    <x v="0"/>
    <x v="44"/>
    <x v="2"/>
    <x v="1"/>
    <x v="1"/>
    <x v="3"/>
  </r>
  <r>
    <n v="381"/>
    <x v="0"/>
    <x v="5"/>
    <x v="5"/>
    <x v="2"/>
    <n v="430.8"/>
    <n v="7"/>
    <n v="3.4"/>
    <x v="1"/>
    <x v="23"/>
    <x v="1"/>
    <x v="0"/>
    <x v="2"/>
    <x v="4"/>
  </r>
  <r>
    <n v="382"/>
    <x v="0"/>
    <x v="6"/>
    <x v="0"/>
    <x v="0"/>
    <n v="1160.5999999999999"/>
    <n v="15"/>
    <n v="4.5"/>
    <x v="0"/>
    <x v="45"/>
    <x v="0"/>
    <x v="1"/>
    <x v="0"/>
    <x v="0"/>
  </r>
  <r>
    <n v="383"/>
    <x v="1"/>
    <x v="7"/>
    <x v="1"/>
    <x v="1"/>
    <n v="820.9"/>
    <n v="12"/>
    <n v="4.3"/>
    <x v="1"/>
    <x v="13"/>
    <x v="1"/>
    <x v="2"/>
    <x v="1"/>
    <x v="1"/>
  </r>
  <r>
    <n v="384"/>
    <x v="0"/>
    <x v="8"/>
    <x v="2"/>
    <x v="2"/>
    <n v="495.25"/>
    <n v="9"/>
    <n v="3.6"/>
    <x v="0"/>
    <x v="43"/>
    <x v="2"/>
    <x v="1"/>
    <x v="2"/>
    <x v="2"/>
  </r>
  <r>
    <n v="385"/>
    <x v="1"/>
    <x v="9"/>
    <x v="3"/>
    <x v="0"/>
    <n v="1490.1"/>
    <n v="21"/>
    <n v="4.9000000000000004"/>
    <x v="1"/>
    <x v="25"/>
    <x v="0"/>
    <x v="2"/>
    <x v="0"/>
    <x v="3"/>
  </r>
  <r>
    <n v="386"/>
    <x v="1"/>
    <x v="10"/>
    <x v="4"/>
    <x v="1"/>
    <n v="660.3"/>
    <n v="10"/>
    <n v="3.8"/>
    <x v="0"/>
    <x v="28"/>
    <x v="2"/>
    <x v="1"/>
    <x v="1"/>
    <x v="0"/>
  </r>
  <r>
    <n v="387"/>
    <x v="0"/>
    <x v="11"/>
    <x v="5"/>
    <x v="2"/>
    <n v="440.5"/>
    <n v="8"/>
    <n v="3.1"/>
    <x v="1"/>
    <x v="22"/>
    <x v="1"/>
    <x v="0"/>
    <x v="2"/>
    <x v="1"/>
  </r>
  <r>
    <n v="388"/>
    <x v="0"/>
    <x v="3"/>
    <x v="0"/>
    <x v="0"/>
    <n v="1200.8"/>
    <n v="16"/>
    <n v="4.7"/>
    <x v="0"/>
    <x v="30"/>
    <x v="0"/>
    <x v="0"/>
    <x v="0"/>
    <x v="0"/>
  </r>
  <r>
    <n v="389"/>
    <x v="1"/>
    <x v="1"/>
    <x v="1"/>
    <x v="1"/>
    <n v="780.2"/>
    <n v="11"/>
    <n v="4.0999999999999996"/>
    <x v="1"/>
    <x v="18"/>
    <x v="1"/>
    <x v="0"/>
    <x v="1"/>
    <x v="1"/>
  </r>
  <r>
    <n v="390"/>
    <x v="0"/>
    <x v="2"/>
    <x v="2"/>
    <x v="2"/>
    <n v="505.75"/>
    <n v="10"/>
    <n v="3.3"/>
    <x v="0"/>
    <x v="46"/>
    <x v="2"/>
    <x v="1"/>
    <x v="1"/>
    <x v="2"/>
  </r>
  <r>
    <n v="391"/>
    <x v="1"/>
    <x v="3"/>
    <x v="3"/>
    <x v="0"/>
    <n v="1460.5"/>
    <n v="20"/>
    <n v="4.8"/>
    <x v="1"/>
    <x v="20"/>
    <x v="0"/>
    <x v="2"/>
    <x v="0"/>
    <x v="0"/>
  </r>
  <r>
    <n v="392"/>
    <x v="1"/>
    <x v="4"/>
    <x v="4"/>
    <x v="1"/>
    <n v="710.4"/>
    <n v="13"/>
    <n v="4.0999999999999996"/>
    <x v="0"/>
    <x v="47"/>
    <x v="2"/>
    <x v="1"/>
    <x v="1"/>
    <x v="3"/>
  </r>
  <r>
    <n v="393"/>
    <x v="0"/>
    <x v="5"/>
    <x v="5"/>
    <x v="2"/>
    <n v="450.8"/>
    <n v="7"/>
    <n v="3.4"/>
    <x v="1"/>
    <x v="6"/>
    <x v="1"/>
    <x v="0"/>
    <x v="2"/>
    <x v="4"/>
  </r>
  <r>
    <n v="394"/>
    <x v="0"/>
    <x v="6"/>
    <x v="0"/>
    <x v="0"/>
    <n v="1140.5999999999999"/>
    <n v="15"/>
    <n v="4.5"/>
    <x v="0"/>
    <x v="34"/>
    <x v="0"/>
    <x v="1"/>
    <x v="0"/>
    <x v="0"/>
  </r>
  <r>
    <n v="395"/>
    <x v="1"/>
    <x v="7"/>
    <x v="1"/>
    <x v="1"/>
    <n v="800.9"/>
    <n v="12"/>
    <n v="4.0999999999999996"/>
    <x v="1"/>
    <x v="31"/>
    <x v="1"/>
    <x v="0"/>
    <x v="1"/>
    <x v="1"/>
  </r>
  <r>
    <n v="396"/>
    <x v="0"/>
    <x v="8"/>
    <x v="2"/>
    <x v="2"/>
    <n v="475.25"/>
    <n v="9"/>
    <n v="3.6"/>
    <x v="0"/>
    <x v="46"/>
    <x v="2"/>
    <x v="1"/>
    <x v="2"/>
    <x v="2"/>
  </r>
  <r>
    <n v="397"/>
    <x v="1"/>
    <x v="9"/>
    <x v="3"/>
    <x v="0"/>
    <n v="1480.1"/>
    <n v="21"/>
    <n v="4.9000000000000004"/>
    <x v="1"/>
    <x v="3"/>
    <x v="0"/>
    <x v="2"/>
    <x v="0"/>
    <x v="3"/>
  </r>
  <r>
    <n v="398"/>
    <x v="1"/>
    <x v="10"/>
    <x v="4"/>
    <x v="1"/>
    <n v="660.3"/>
    <n v="10"/>
    <n v="3.8"/>
    <x v="0"/>
    <x v="14"/>
    <x v="2"/>
    <x v="1"/>
    <x v="1"/>
    <x v="0"/>
  </r>
  <r>
    <n v="399"/>
    <x v="0"/>
    <x v="11"/>
    <x v="5"/>
    <x v="2"/>
    <n v="470.5"/>
    <n v="8"/>
    <n v="3"/>
    <x v="1"/>
    <x v="5"/>
    <x v="1"/>
    <x v="0"/>
    <x v="2"/>
    <x v="1"/>
  </r>
  <r>
    <n v="400"/>
    <x v="0"/>
    <x v="3"/>
    <x v="0"/>
    <x v="0"/>
    <n v="1190.8"/>
    <n v="16"/>
    <n v="4.5"/>
    <x v="0"/>
    <x v="0"/>
    <x v="0"/>
    <x v="0"/>
    <x v="0"/>
    <x v="0"/>
  </r>
  <r>
    <n v="401"/>
    <x v="1"/>
    <x v="12"/>
    <x v="1"/>
    <x v="1"/>
    <n v="800.2"/>
    <n v="11"/>
    <n v="4.0999999999999996"/>
    <x v="1"/>
    <x v="1"/>
    <x v="1"/>
    <x v="0"/>
    <x v="1"/>
    <x v="1"/>
  </r>
  <r>
    <n v="402"/>
    <x v="0"/>
    <x v="2"/>
    <x v="2"/>
    <x v="2"/>
    <n v="515.75"/>
    <n v="10"/>
    <n v="3.3"/>
    <x v="0"/>
    <x v="48"/>
    <x v="2"/>
    <x v="1"/>
    <x v="1"/>
    <x v="2"/>
  </r>
  <r>
    <n v="403"/>
    <x v="1"/>
    <x v="3"/>
    <x v="3"/>
    <x v="0"/>
    <n v="1450.5"/>
    <n v="19"/>
    <n v="4.5999999999999996"/>
    <x v="1"/>
    <x v="20"/>
    <x v="0"/>
    <x v="2"/>
    <x v="0"/>
    <x v="0"/>
  </r>
  <r>
    <n v="404"/>
    <x v="1"/>
    <x v="4"/>
    <x v="4"/>
    <x v="1"/>
    <n v="710.4"/>
    <n v="13"/>
    <n v="4.0999999999999996"/>
    <x v="0"/>
    <x v="49"/>
    <x v="2"/>
    <x v="1"/>
    <x v="1"/>
    <x v="3"/>
  </r>
  <r>
    <n v="405"/>
    <x v="0"/>
    <x v="5"/>
    <x v="5"/>
    <x v="2"/>
    <n v="430.8"/>
    <n v="7"/>
    <n v="3.4"/>
    <x v="1"/>
    <x v="17"/>
    <x v="1"/>
    <x v="0"/>
    <x v="2"/>
    <x v="4"/>
  </r>
  <r>
    <n v="406"/>
    <x v="0"/>
    <x v="6"/>
    <x v="0"/>
    <x v="0"/>
    <n v="1160.5999999999999"/>
    <n v="15"/>
    <n v="4.5"/>
    <x v="0"/>
    <x v="26"/>
    <x v="0"/>
    <x v="1"/>
    <x v="0"/>
    <x v="0"/>
  </r>
  <r>
    <n v="407"/>
    <x v="1"/>
    <x v="7"/>
    <x v="1"/>
    <x v="1"/>
    <n v="820.9"/>
    <n v="12"/>
    <n v="4.3"/>
    <x v="1"/>
    <x v="18"/>
    <x v="1"/>
    <x v="0"/>
    <x v="1"/>
    <x v="1"/>
  </r>
  <r>
    <n v="408"/>
    <x v="0"/>
    <x v="8"/>
    <x v="2"/>
    <x v="2"/>
    <n v="495.25"/>
    <n v="9"/>
    <n v="3.6"/>
    <x v="0"/>
    <x v="48"/>
    <x v="2"/>
    <x v="1"/>
    <x v="2"/>
    <x v="2"/>
  </r>
  <r>
    <n v="409"/>
    <x v="1"/>
    <x v="9"/>
    <x v="3"/>
    <x v="0"/>
    <n v="1490.1"/>
    <n v="21"/>
    <n v="4.9000000000000004"/>
    <x v="1"/>
    <x v="15"/>
    <x v="0"/>
    <x v="2"/>
    <x v="0"/>
    <x v="3"/>
  </r>
  <r>
    <n v="410"/>
    <x v="1"/>
    <x v="10"/>
    <x v="4"/>
    <x v="1"/>
    <n v="660.3"/>
    <n v="10"/>
    <n v="3.8"/>
    <x v="0"/>
    <x v="24"/>
    <x v="2"/>
    <x v="1"/>
    <x v="1"/>
    <x v="0"/>
  </r>
  <r>
    <n v="411"/>
    <x v="0"/>
    <x v="11"/>
    <x v="5"/>
    <x v="2"/>
    <n v="440.5"/>
    <n v="8"/>
    <n v="3.1"/>
    <x v="1"/>
    <x v="30"/>
    <x v="1"/>
    <x v="0"/>
    <x v="2"/>
    <x v="1"/>
  </r>
  <r>
    <n v="412"/>
    <x v="0"/>
    <x v="3"/>
    <x v="0"/>
    <x v="0"/>
    <n v="1200.8"/>
    <n v="16"/>
    <n v="4.7"/>
    <x v="0"/>
    <x v="0"/>
    <x v="0"/>
    <x v="0"/>
    <x v="0"/>
    <x v="0"/>
  </r>
  <r>
    <n v="413"/>
    <x v="1"/>
    <x v="1"/>
    <x v="1"/>
    <x v="1"/>
    <n v="780.2"/>
    <n v="11"/>
    <n v="4.0999999999999996"/>
    <x v="1"/>
    <x v="31"/>
    <x v="1"/>
    <x v="0"/>
    <x v="1"/>
    <x v="1"/>
  </r>
  <r>
    <n v="414"/>
    <x v="0"/>
    <x v="2"/>
    <x v="2"/>
    <x v="2"/>
    <n v="505.75"/>
    <n v="10"/>
    <n v="3.3"/>
    <x v="0"/>
    <x v="37"/>
    <x v="2"/>
    <x v="1"/>
    <x v="1"/>
    <x v="2"/>
  </r>
  <r>
    <n v="415"/>
    <x v="1"/>
    <x v="3"/>
    <x v="3"/>
    <x v="0"/>
    <n v="1460.5"/>
    <n v="20"/>
    <n v="4.8"/>
    <x v="1"/>
    <x v="7"/>
    <x v="0"/>
    <x v="2"/>
    <x v="0"/>
    <x v="0"/>
  </r>
  <r>
    <n v="416"/>
    <x v="1"/>
    <x v="4"/>
    <x v="4"/>
    <x v="1"/>
    <n v="710.4"/>
    <n v="13"/>
    <n v="4.0999999999999996"/>
    <x v="0"/>
    <x v="50"/>
    <x v="2"/>
    <x v="1"/>
    <x v="1"/>
    <x v="3"/>
  </r>
  <r>
    <n v="417"/>
    <x v="0"/>
    <x v="5"/>
    <x v="5"/>
    <x v="2"/>
    <n v="450.8"/>
    <n v="7"/>
    <n v="3.4"/>
    <x v="1"/>
    <x v="41"/>
    <x v="1"/>
    <x v="0"/>
    <x v="2"/>
    <x v="4"/>
  </r>
  <r>
    <n v="418"/>
    <x v="0"/>
    <x v="6"/>
    <x v="0"/>
    <x v="0"/>
    <n v="1140.5999999999999"/>
    <n v="15"/>
    <n v="4.5"/>
    <x v="0"/>
    <x v="10"/>
    <x v="0"/>
    <x v="1"/>
    <x v="0"/>
    <x v="0"/>
  </r>
  <r>
    <n v="419"/>
    <x v="1"/>
    <x v="7"/>
    <x v="1"/>
    <x v="1"/>
    <n v="800.9"/>
    <n v="12"/>
    <n v="4.0999999999999996"/>
    <x v="1"/>
    <x v="27"/>
    <x v="1"/>
    <x v="0"/>
    <x v="1"/>
    <x v="1"/>
  </r>
  <r>
    <n v="420"/>
    <x v="0"/>
    <x v="8"/>
    <x v="2"/>
    <x v="2"/>
    <n v="475.25"/>
    <n v="9"/>
    <n v="3.6"/>
    <x v="0"/>
    <x v="37"/>
    <x v="2"/>
    <x v="1"/>
    <x v="2"/>
    <x v="2"/>
  </r>
  <r>
    <n v="421"/>
    <x v="1"/>
    <x v="9"/>
    <x v="3"/>
    <x v="0"/>
    <n v="1480.1"/>
    <n v="21"/>
    <n v="4.9000000000000004"/>
    <x v="1"/>
    <x v="3"/>
    <x v="0"/>
    <x v="2"/>
    <x v="0"/>
    <x v="3"/>
  </r>
  <r>
    <n v="422"/>
    <x v="1"/>
    <x v="10"/>
    <x v="4"/>
    <x v="1"/>
    <n v="660.3"/>
    <n v="10"/>
    <n v="3.8"/>
    <x v="0"/>
    <x v="8"/>
    <x v="2"/>
    <x v="1"/>
    <x v="1"/>
    <x v="0"/>
  </r>
  <r>
    <n v="423"/>
    <x v="0"/>
    <x v="11"/>
    <x v="5"/>
    <x v="2"/>
    <n v="470.5"/>
    <n v="8"/>
    <n v="3"/>
    <x v="1"/>
    <x v="33"/>
    <x v="1"/>
    <x v="0"/>
    <x v="2"/>
    <x v="1"/>
  </r>
  <r>
    <n v="424"/>
    <x v="0"/>
    <x v="3"/>
    <x v="0"/>
    <x v="0"/>
    <n v="1190.8"/>
    <n v="16"/>
    <n v="4.5"/>
    <x v="0"/>
    <x v="23"/>
    <x v="0"/>
    <x v="0"/>
    <x v="0"/>
    <x v="0"/>
  </r>
  <r>
    <n v="425"/>
    <x v="1"/>
    <x v="1"/>
    <x v="1"/>
    <x v="1"/>
    <n v="780.2"/>
    <n v="11"/>
    <n v="4.2"/>
    <x v="1"/>
    <x v="1"/>
    <x v="1"/>
    <x v="0"/>
    <x v="1"/>
    <x v="1"/>
  </r>
  <r>
    <n v="426"/>
    <x v="0"/>
    <x v="2"/>
    <x v="2"/>
    <x v="2"/>
    <n v="515.75"/>
    <n v="10"/>
    <n v="3.3"/>
    <x v="0"/>
    <x v="29"/>
    <x v="2"/>
    <x v="1"/>
    <x v="1"/>
    <x v="2"/>
  </r>
  <r>
    <n v="427"/>
    <x v="1"/>
    <x v="3"/>
    <x v="3"/>
    <x v="0"/>
    <n v="1450.5"/>
    <n v="19"/>
    <n v="4.5999999999999996"/>
    <x v="1"/>
    <x v="7"/>
    <x v="0"/>
    <x v="2"/>
    <x v="0"/>
    <x v="0"/>
  </r>
  <r>
    <n v="428"/>
    <x v="1"/>
    <x v="4"/>
    <x v="4"/>
    <x v="1"/>
    <n v="710.4"/>
    <n v="13"/>
    <n v="4.0999999999999996"/>
    <x v="0"/>
    <x v="51"/>
    <x v="2"/>
    <x v="1"/>
    <x v="1"/>
    <x v="3"/>
  </r>
  <r>
    <n v="429"/>
    <x v="0"/>
    <x v="5"/>
    <x v="5"/>
    <x v="2"/>
    <n v="430.8"/>
    <n v="7"/>
    <n v="3.4"/>
    <x v="1"/>
    <x v="45"/>
    <x v="1"/>
    <x v="1"/>
    <x v="2"/>
    <x v="4"/>
  </r>
  <r>
    <n v="430"/>
    <x v="0"/>
    <x v="6"/>
    <x v="0"/>
    <x v="0"/>
    <n v="1160.5999999999999"/>
    <n v="15"/>
    <n v="4.5"/>
    <x v="0"/>
    <x v="36"/>
    <x v="0"/>
    <x v="1"/>
    <x v="0"/>
    <x v="0"/>
  </r>
  <r>
    <n v="431"/>
    <x v="1"/>
    <x v="7"/>
    <x v="1"/>
    <x v="1"/>
    <n v="820.9"/>
    <n v="12"/>
    <n v="4.3"/>
    <x v="1"/>
    <x v="11"/>
    <x v="1"/>
    <x v="0"/>
    <x v="1"/>
    <x v="1"/>
  </r>
  <r>
    <n v="432"/>
    <x v="0"/>
    <x v="8"/>
    <x v="2"/>
    <x v="2"/>
    <n v="495.25"/>
    <n v="9"/>
    <n v="3.6"/>
    <x v="0"/>
    <x v="29"/>
    <x v="2"/>
    <x v="1"/>
    <x v="2"/>
    <x v="2"/>
  </r>
  <r>
    <n v="433"/>
    <x v="1"/>
    <x v="9"/>
    <x v="3"/>
    <x v="0"/>
    <n v="1490.1"/>
    <n v="21"/>
    <n v="4.9000000000000004"/>
    <x v="1"/>
    <x v="15"/>
    <x v="0"/>
    <x v="2"/>
    <x v="0"/>
    <x v="3"/>
  </r>
  <r>
    <n v="434"/>
    <x v="1"/>
    <x v="10"/>
    <x v="4"/>
    <x v="1"/>
    <n v="660.3"/>
    <n v="10"/>
    <n v="3.8"/>
    <x v="0"/>
    <x v="19"/>
    <x v="2"/>
    <x v="1"/>
    <x v="1"/>
    <x v="0"/>
  </r>
  <r>
    <n v="435"/>
    <x v="0"/>
    <x v="11"/>
    <x v="5"/>
    <x v="2"/>
    <n v="440.5"/>
    <n v="8"/>
    <n v="3.1"/>
    <x v="1"/>
    <x v="6"/>
    <x v="1"/>
    <x v="0"/>
    <x v="2"/>
    <x v="1"/>
  </r>
  <r>
    <n v="436"/>
    <x v="0"/>
    <x v="3"/>
    <x v="0"/>
    <x v="0"/>
    <n v="1200.8"/>
    <n v="16"/>
    <n v="4.7"/>
    <x v="0"/>
    <x v="6"/>
    <x v="0"/>
    <x v="0"/>
    <x v="0"/>
    <x v="0"/>
  </r>
  <r>
    <n v="437"/>
    <x v="1"/>
    <x v="1"/>
    <x v="1"/>
    <x v="1"/>
    <n v="780.2"/>
    <n v="11"/>
    <n v="4.0999999999999996"/>
    <x v="1"/>
    <x v="27"/>
    <x v="1"/>
    <x v="0"/>
    <x v="1"/>
    <x v="1"/>
  </r>
  <r>
    <n v="438"/>
    <x v="0"/>
    <x v="2"/>
    <x v="2"/>
    <x v="2"/>
    <n v="505.75"/>
    <n v="10"/>
    <n v="3.3"/>
    <x v="0"/>
    <x v="16"/>
    <x v="2"/>
    <x v="1"/>
    <x v="1"/>
    <x v="2"/>
  </r>
  <r>
    <n v="439"/>
    <x v="1"/>
    <x v="3"/>
    <x v="3"/>
    <x v="0"/>
    <n v="1460.5"/>
    <n v="20"/>
    <n v="4.8"/>
    <x v="1"/>
    <x v="13"/>
    <x v="0"/>
    <x v="2"/>
    <x v="0"/>
    <x v="0"/>
  </r>
  <r>
    <n v="440"/>
    <x v="1"/>
    <x v="4"/>
    <x v="4"/>
    <x v="1"/>
    <n v="710.4"/>
    <n v="13"/>
    <n v="4.0999999999999996"/>
    <x v="0"/>
    <x v="52"/>
    <x v="2"/>
    <x v="1"/>
    <x v="1"/>
    <x v="3"/>
  </r>
  <r>
    <n v="441"/>
    <x v="0"/>
    <x v="5"/>
    <x v="5"/>
    <x v="2"/>
    <n v="450.8"/>
    <n v="7"/>
    <n v="3.4"/>
    <x v="1"/>
    <x v="34"/>
    <x v="1"/>
    <x v="1"/>
    <x v="2"/>
    <x v="4"/>
  </r>
  <r>
    <n v="442"/>
    <x v="0"/>
    <x v="6"/>
    <x v="0"/>
    <x v="0"/>
    <n v="1140.5999999999999"/>
    <n v="15"/>
    <n v="4.5"/>
    <x v="0"/>
    <x v="42"/>
    <x v="0"/>
    <x v="1"/>
    <x v="0"/>
    <x v="0"/>
  </r>
  <r>
    <n v="443"/>
    <x v="1"/>
    <x v="7"/>
    <x v="1"/>
    <x v="1"/>
    <n v="800.9"/>
    <n v="12"/>
    <n v="4.0999999999999996"/>
    <x v="1"/>
    <x v="11"/>
    <x v="1"/>
    <x v="0"/>
    <x v="1"/>
    <x v="1"/>
  </r>
  <r>
    <n v="444"/>
    <x v="0"/>
    <x v="8"/>
    <x v="2"/>
    <x v="2"/>
    <n v="475.25"/>
    <n v="9"/>
    <n v="3.6"/>
    <x v="0"/>
    <x v="16"/>
    <x v="2"/>
    <x v="1"/>
    <x v="2"/>
    <x v="2"/>
  </r>
  <r>
    <n v="445"/>
    <x v="1"/>
    <x v="9"/>
    <x v="3"/>
    <x v="0"/>
    <n v="1480.1"/>
    <n v="21"/>
    <n v="4.9000000000000004"/>
    <x v="1"/>
    <x v="20"/>
    <x v="0"/>
    <x v="2"/>
    <x v="0"/>
    <x v="3"/>
  </r>
  <r>
    <n v="446"/>
    <x v="1"/>
    <x v="10"/>
    <x v="4"/>
    <x v="1"/>
    <n v="660.3"/>
    <n v="10"/>
    <n v="3.8"/>
    <x v="0"/>
    <x v="2"/>
    <x v="2"/>
    <x v="1"/>
    <x v="1"/>
    <x v="0"/>
  </r>
  <r>
    <n v="447"/>
    <x v="0"/>
    <x v="11"/>
    <x v="5"/>
    <x v="2"/>
    <n v="470.5"/>
    <n v="8"/>
    <n v="3"/>
    <x v="1"/>
    <x v="23"/>
    <x v="1"/>
    <x v="0"/>
    <x v="2"/>
    <x v="1"/>
  </r>
  <r>
    <n v="448"/>
    <x v="0"/>
    <x v="3"/>
    <x v="0"/>
    <x v="0"/>
    <n v="1190.8"/>
    <n v="16"/>
    <n v="4.5"/>
    <x v="0"/>
    <x v="6"/>
    <x v="0"/>
    <x v="0"/>
    <x v="0"/>
    <x v="0"/>
  </r>
  <r>
    <n v="449"/>
    <x v="1"/>
    <x v="1"/>
    <x v="1"/>
    <x v="1"/>
    <n v="780.2"/>
    <n v="11"/>
    <n v="4.2"/>
    <x v="1"/>
    <x v="12"/>
    <x v="1"/>
    <x v="0"/>
    <x v="1"/>
    <x v="1"/>
  </r>
  <r>
    <n v="450"/>
    <x v="0"/>
    <x v="2"/>
    <x v="2"/>
    <x v="2"/>
    <n v="515.75"/>
    <n v="10"/>
    <n v="3.3"/>
    <x v="0"/>
    <x v="53"/>
    <x v="2"/>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04390-7128-4A7A-A4B0-5F4AE1F4397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3:E7" firstHeaderRow="1" firstDataRow="1" firstDataCol="1"/>
  <pivotFields count="14">
    <pivotField showAll="0"/>
    <pivotField showAll="0">
      <items count="3">
        <item x="0"/>
        <item x="1"/>
        <item t="default"/>
      </items>
    </pivotField>
    <pivotField showAll="0">
      <items count="17">
        <item x="14"/>
        <item x="4"/>
        <item x="9"/>
        <item x="0"/>
        <item x="3"/>
        <item x="6"/>
        <item x="10"/>
        <item x="12"/>
        <item x="1"/>
        <item x="7"/>
        <item x="11"/>
        <item x="5"/>
        <item x="15"/>
        <item x="8"/>
        <item x="13"/>
        <item x="2"/>
        <item t="default"/>
      </items>
    </pivotField>
    <pivotField showAll="0">
      <items count="7">
        <item x="2"/>
        <item x="5"/>
        <item x="1"/>
        <item x="4"/>
        <item x="0"/>
        <item x="3"/>
        <item t="default"/>
      </items>
    </pivotField>
    <pivotField showAll="0">
      <items count="4">
        <item x="2"/>
        <item x="0"/>
        <item x="1"/>
        <item t="default"/>
      </items>
    </pivotField>
    <pivotField showAll="0"/>
    <pivotField showAll="0"/>
    <pivotField showAll="0"/>
    <pivotField showAll="0">
      <items count="3">
        <item x="1"/>
        <item x="0"/>
        <item t="default"/>
      </items>
    </pivotField>
    <pivotField showAll="0"/>
    <pivotField axis="axisRow" dataField="1" showAll="0">
      <items count="4">
        <item x="1"/>
        <item x="0"/>
        <item x="2"/>
        <item t="default"/>
      </items>
    </pivotField>
    <pivotField showAll="0">
      <items count="4">
        <item x="2"/>
        <item x="1"/>
        <item x="0"/>
        <item t="default"/>
      </items>
    </pivotField>
    <pivotField showAll="0"/>
    <pivotField showAll="0">
      <items count="6">
        <item x="3"/>
        <item x="0"/>
        <item x="1"/>
        <item x="4"/>
        <item x="2"/>
        <item t="default"/>
      </items>
    </pivotField>
  </pivotFields>
  <rowFields count="1">
    <field x="10"/>
  </rowFields>
  <rowItems count="4">
    <i>
      <x/>
    </i>
    <i>
      <x v="1"/>
    </i>
    <i>
      <x v="2"/>
    </i>
    <i t="grand">
      <x/>
    </i>
  </rowItems>
  <colItems count="1">
    <i/>
  </colItems>
  <dataFields count="1">
    <dataField name="Count of Satisfaction Level" fld="10" subtotal="count" baseField="0" baseItem="0"/>
  </dataFields>
  <chartFormats count="4">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0" count="1" selected="0">
            <x v="1"/>
          </reference>
        </references>
      </pivotArea>
    </chartFormat>
    <chartFormat chart="3" format="5">
      <pivotArea type="data" outline="0" fieldPosition="0">
        <references count="2">
          <reference field="4294967294" count="1" selected="0">
            <x v="0"/>
          </reference>
          <reference field="10" count="1" selected="0">
            <x v="0"/>
          </reference>
        </references>
      </pivotArea>
    </chartFormat>
    <chartFormat chart="3" format="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A4BCE7-BAB5-43BC-8A88-807D0825222A}"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B16" firstHeaderRow="1" firstDataRow="1" firstDataCol="1"/>
  <pivotFields count="14">
    <pivotField showAll="0"/>
    <pivotField showAll="0">
      <items count="3">
        <item x="0"/>
        <item x="1"/>
        <item t="default"/>
      </items>
    </pivotField>
    <pivotField showAll="0"/>
    <pivotField showAll="0">
      <items count="7">
        <item x="2"/>
        <item x="5"/>
        <item x="1"/>
        <item x="4"/>
        <item x="0"/>
        <item x="3"/>
        <item t="default"/>
      </items>
    </pivotField>
    <pivotField axis="axisRow" dataField="1" showAll="0">
      <items count="4">
        <item x="2"/>
        <item x="0"/>
        <item x="1"/>
        <item t="default"/>
      </items>
    </pivotField>
    <pivotField showAll="0"/>
    <pivotField showAll="0"/>
    <pivotField showAll="0"/>
    <pivotField showAll="0">
      <items count="3">
        <item x="1"/>
        <item x="0"/>
        <item t="default"/>
      </items>
    </pivotField>
    <pivotField showAll="0"/>
    <pivotField showAll="0"/>
    <pivotField showAll="0">
      <items count="4">
        <item x="2"/>
        <item x="1"/>
        <item x="0"/>
        <item t="default"/>
      </items>
    </pivotField>
    <pivotField showAll="0"/>
    <pivotField showAll="0">
      <items count="6">
        <item x="3"/>
        <item x="0"/>
        <item x="1"/>
        <item x="4"/>
        <item x="2"/>
        <item t="default"/>
      </items>
    </pivotField>
  </pivotFields>
  <rowFields count="1">
    <field x="4"/>
  </rowFields>
  <rowItems count="4">
    <i>
      <x/>
    </i>
    <i>
      <x v="1"/>
    </i>
    <i>
      <x v="2"/>
    </i>
    <i t="grand">
      <x/>
    </i>
  </rowItems>
  <colItems count="1">
    <i/>
  </colItems>
  <dataFields count="1">
    <dataField name="Count of Membership Type" fld="4"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501139-7475-413E-BA72-9698E99E99D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3:G4" firstHeaderRow="1" firstDataRow="1" firstDataCol="0"/>
  <pivotFields count="14">
    <pivotField dataField="1" showAll="0"/>
    <pivotField showAll="0">
      <items count="3">
        <item x="0"/>
        <item x="1"/>
        <item t="default"/>
      </items>
    </pivotField>
    <pivotField showAll="0">
      <items count="17">
        <item x="14"/>
        <item x="4"/>
        <item x="9"/>
        <item x="0"/>
        <item x="3"/>
        <item x="6"/>
        <item x="10"/>
        <item x="12"/>
        <item x="1"/>
        <item x="7"/>
        <item x="11"/>
        <item x="5"/>
        <item x="15"/>
        <item x="8"/>
        <item x="13"/>
        <item x="2"/>
        <item t="default"/>
      </items>
    </pivotField>
    <pivotField showAll="0">
      <items count="7">
        <item x="2"/>
        <item x="5"/>
        <item x="1"/>
        <item x="4"/>
        <item x="0"/>
        <item x="3"/>
        <item t="default"/>
      </items>
    </pivotField>
    <pivotField showAll="0">
      <items count="4">
        <item x="2"/>
        <item x="0"/>
        <item x="1"/>
        <item t="default"/>
      </items>
    </pivotField>
    <pivotField showAll="0"/>
    <pivotField showAll="0"/>
    <pivotField showAll="0"/>
    <pivotField showAll="0">
      <items count="3">
        <item x="1"/>
        <item x="0"/>
        <item t="default"/>
      </items>
    </pivotField>
    <pivotField showAll="0"/>
    <pivotField showAll="0">
      <items count="4">
        <item x="1"/>
        <item x="0"/>
        <item x="2"/>
        <item t="default"/>
      </items>
    </pivotField>
    <pivotField showAll="0">
      <items count="4">
        <item x="2"/>
        <item x="1"/>
        <item x="0"/>
        <item t="default"/>
      </items>
    </pivotField>
    <pivotField showAll="0"/>
    <pivotField showAll="0">
      <items count="6">
        <item x="3"/>
        <item x="0"/>
        <item x="1"/>
        <item x="4"/>
        <item x="2"/>
        <item t="default"/>
      </items>
    </pivotField>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F4D659B-77A3-4DE5-B3CE-8B6BCC304E13}"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1:G12" firstHeaderRow="1" firstDataRow="1" firstDataCol="0"/>
  <pivotFields count="14">
    <pivotField showAll="0"/>
    <pivotField showAll="0">
      <items count="3">
        <item x="0"/>
        <item x="1"/>
        <item t="default"/>
      </items>
    </pivotField>
    <pivotField showAll="0">
      <items count="17">
        <item x="14"/>
        <item x="4"/>
        <item x="9"/>
        <item x="0"/>
        <item x="3"/>
        <item x="6"/>
        <item x="10"/>
        <item x="12"/>
        <item x="1"/>
        <item x="7"/>
        <item x="11"/>
        <item x="5"/>
        <item x="15"/>
        <item x="8"/>
        <item x="13"/>
        <item x="2"/>
        <item t="default"/>
      </items>
    </pivotField>
    <pivotField showAll="0">
      <items count="7">
        <item x="2"/>
        <item x="5"/>
        <item x="1"/>
        <item x="4"/>
        <item x="0"/>
        <item x="3"/>
        <item t="default"/>
      </items>
    </pivotField>
    <pivotField showAll="0">
      <items count="4">
        <item x="2"/>
        <item x="0"/>
        <item x="1"/>
        <item t="default"/>
      </items>
    </pivotField>
    <pivotField showAll="0"/>
    <pivotField showAll="0"/>
    <pivotField dataField="1" showAll="0"/>
    <pivotField showAll="0">
      <items count="3">
        <item x="1"/>
        <item x="0"/>
        <item t="default"/>
      </items>
    </pivotField>
    <pivotField showAll="0"/>
    <pivotField showAll="0">
      <items count="4">
        <item x="1"/>
        <item x="0"/>
        <item x="2"/>
        <item t="default"/>
      </items>
    </pivotField>
    <pivotField showAll="0">
      <items count="4">
        <item x="2"/>
        <item x="1"/>
        <item x="0"/>
        <item t="default"/>
      </items>
    </pivotField>
    <pivotField showAll="0"/>
    <pivotField showAll="0">
      <items count="6">
        <item x="3"/>
        <item x="0"/>
        <item x="1"/>
        <item x="4"/>
        <item x="2"/>
        <item t="default"/>
      </items>
    </pivotField>
  </pivotFields>
  <rowItems count="1">
    <i/>
  </rowItems>
  <colItems count="1">
    <i/>
  </colItems>
  <dataFields count="1">
    <dataField name="Average of Average Rating" fld="7"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A5FD98-9A92-4B34-BE63-17D4CCDA9D0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18:B24" firstHeaderRow="1" firstDataRow="1" firstDataCol="1"/>
  <pivotFields count="14">
    <pivotField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dataField="1" showAll="0"/>
    <pivotField showAll="0"/>
    <pivotField showAll="0"/>
    <pivotField showAll="0"/>
    <pivotField showAll="0"/>
    <pivotField showAll="0"/>
    <pivotField showAll="0">
      <items count="4">
        <item x="2"/>
        <item x="1"/>
        <item x="0"/>
        <item t="default"/>
      </items>
    </pivotField>
    <pivotField showAll="0"/>
    <pivotField axis="axisRow" showAll="0">
      <items count="6">
        <item x="3"/>
        <item x="0"/>
        <item x="1"/>
        <item x="4"/>
        <item x="2"/>
        <item t="default"/>
      </items>
    </pivotField>
  </pivotFields>
  <rowFields count="1">
    <field x="13"/>
  </rowFields>
  <rowItems count="6">
    <i>
      <x/>
    </i>
    <i>
      <x v="1"/>
    </i>
    <i>
      <x v="2"/>
    </i>
    <i>
      <x v="3"/>
    </i>
    <i>
      <x v="4"/>
    </i>
    <i t="grand">
      <x/>
    </i>
  </rowItems>
  <colItems count="1">
    <i/>
  </colItems>
  <dataFields count="1">
    <dataField name="Sum of Total Spend" fld="5" baseField="0"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B6C8FD-19DD-4DB6-AE3D-2104923D34A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20:E24" firstHeaderRow="1" firstDataRow="1" firstDataCol="1"/>
  <pivotFields count="14">
    <pivotField showAll="0"/>
    <pivotField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showAll="0"/>
    <pivotField showAll="0"/>
    <pivotField showAll="0"/>
    <pivotField showAll="0">
      <items count="3">
        <item x="1"/>
        <item x="0"/>
        <item t="default"/>
      </items>
    </pivotField>
    <pivotField showAll="0"/>
    <pivotField showAll="0">
      <items count="4">
        <item x="1"/>
        <item x="0"/>
        <item x="2"/>
        <item t="default"/>
      </items>
    </pivotField>
    <pivotField axis="axisRow" dataField="1" showAll="0">
      <items count="4">
        <item x="2"/>
        <item x="1"/>
        <item x="0"/>
        <item t="default"/>
      </items>
    </pivotField>
    <pivotField showAll="0"/>
    <pivotField showAll="0">
      <items count="6">
        <item x="3"/>
        <item x="0"/>
        <item x="1"/>
        <item x="4"/>
        <item x="2"/>
        <item t="default"/>
      </items>
    </pivotField>
  </pivotFields>
  <rowFields count="1">
    <field x="11"/>
  </rowFields>
  <rowItems count="4">
    <i>
      <x/>
    </i>
    <i>
      <x v="1"/>
    </i>
    <i>
      <x v="2"/>
    </i>
    <i t="grand">
      <x/>
    </i>
  </rowItems>
  <colItems count="1">
    <i/>
  </colItems>
  <dataFields count="1">
    <dataField name="Count of Recency Group"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3DF8BAC-7E5E-40FD-9329-856F62756097}"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H21:I25" firstHeaderRow="1" firstDataRow="1" firstDataCol="1"/>
  <pivotFields count="14">
    <pivotField showAll="0"/>
    <pivotField showAll="0">
      <items count="3">
        <item x="0"/>
        <item x="1"/>
        <item t="default"/>
      </items>
    </pivotField>
    <pivotField showAll="0">
      <items count="17">
        <item x="14"/>
        <item x="4"/>
        <item x="9"/>
        <item x="0"/>
        <item x="3"/>
        <item x="6"/>
        <item x="10"/>
        <item x="12"/>
        <item x="1"/>
        <item x="7"/>
        <item x="11"/>
        <item x="5"/>
        <item x="15"/>
        <item x="8"/>
        <item x="13"/>
        <item x="2"/>
        <item t="default"/>
      </items>
    </pivotField>
    <pivotField showAll="0">
      <items count="7">
        <item x="2"/>
        <item x="5"/>
        <item x="1"/>
        <item x="4"/>
        <item x="0"/>
        <item x="3"/>
        <item t="default"/>
      </items>
    </pivotField>
    <pivotField showAll="0">
      <items count="4">
        <item x="2"/>
        <item x="0"/>
        <item x="1"/>
        <item t="default"/>
      </items>
    </pivotField>
    <pivotField showAll="0"/>
    <pivotField dataField="1" showAll="0"/>
    <pivotField showAll="0"/>
    <pivotField showAll="0">
      <items count="3">
        <item x="1"/>
        <item x="0"/>
        <item t="default"/>
      </items>
    </pivotField>
    <pivotField showAll="0">
      <items count="55">
        <item x="9"/>
        <item x="25"/>
        <item x="15"/>
        <item x="3"/>
        <item x="20"/>
        <item x="7"/>
        <item x="13"/>
        <item x="18"/>
        <item x="31"/>
        <item x="1"/>
        <item x="27"/>
        <item x="11"/>
        <item x="12"/>
        <item x="5"/>
        <item x="22"/>
        <item x="30"/>
        <item x="0"/>
        <item x="33"/>
        <item x="23"/>
        <item x="6"/>
        <item x="17"/>
        <item x="41"/>
        <item x="45"/>
        <item x="34"/>
        <item x="26"/>
        <item x="10"/>
        <item x="36"/>
        <item x="42"/>
        <item x="28"/>
        <item x="14"/>
        <item x="24"/>
        <item x="8"/>
        <item x="19"/>
        <item x="2"/>
        <item x="43"/>
        <item x="46"/>
        <item x="48"/>
        <item x="37"/>
        <item x="29"/>
        <item x="16"/>
        <item x="53"/>
        <item x="35"/>
        <item x="38"/>
        <item x="32"/>
        <item x="21"/>
        <item x="4"/>
        <item x="39"/>
        <item x="40"/>
        <item x="44"/>
        <item x="47"/>
        <item x="49"/>
        <item x="50"/>
        <item x="51"/>
        <item x="52"/>
        <item t="default"/>
      </items>
    </pivotField>
    <pivotField showAll="0">
      <items count="4">
        <item x="1"/>
        <item x="0"/>
        <item x="2"/>
        <item t="default"/>
      </items>
    </pivotField>
    <pivotField showAll="0">
      <items count="4">
        <item x="2"/>
        <item x="1"/>
        <item x="0"/>
        <item t="default"/>
      </items>
    </pivotField>
    <pivotField axis="axisRow" showAll="0">
      <items count="4">
        <item x="0"/>
        <item x="2"/>
        <item x="1"/>
        <item t="default"/>
      </items>
    </pivotField>
    <pivotField showAll="0">
      <items count="6">
        <item x="3"/>
        <item x="0"/>
        <item x="1"/>
        <item x="4"/>
        <item x="2"/>
        <item t="default"/>
      </items>
    </pivotField>
  </pivotFields>
  <rowFields count="1">
    <field x="12"/>
  </rowFields>
  <rowItems count="4">
    <i>
      <x/>
    </i>
    <i>
      <x v="1"/>
    </i>
    <i>
      <x v="2"/>
    </i>
    <i t="grand">
      <x/>
    </i>
  </rowItems>
  <colItems count="1">
    <i/>
  </colItems>
  <dataFields count="1">
    <dataField name="Sum of Items Purchased" fld="6" baseField="0" baseItem="0"/>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DDD1FC-A975-431C-9BD4-9E3512CF599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5:G6" firstHeaderRow="1" firstDataRow="1" firstDataCol="0"/>
  <pivotFields count="14">
    <pivotField showAll="0"/>
    <pivotField showAll="0">
      <items count="3">
        <item x="0"/>
        <item x="1"/>
        <item t="default"/>
      </items>
    </pivotField>
    <pivotField showAll="0">
      <items count="17">
        <item x="14"/>
        <item x="4"/>
        <item x="9"/>
        <item x="0"/>
        <item x="3"/>
        <item x="6"/>
        <item x="10"/>
        <item x="12"/>
        <item x="1"/>
        <item x="7"/>
        <item x="11"/>
        <item x="5"/>
        <item x="15"/>
        <item x="8"/>
        <item x="13"/>
        <item x="2"/>
        <item t="default"/>
      </items>
    </pivotField>
    <pivotField showAll="0">
      <items count="7">
        <item x="2"/>
        <item x="5"/>
        <item x="1"/>
        <item x="4"/>
        <item x="0"/>
        <item x="3"/>
        <item t="default"/>
      </items>
    </pivotField>
    <pivotField showAll="0">
      <items count="4">
        <item x="2"/>
        <item x="0"/>
        <item x="1"/>
        <item t="default"/>
      </items>
    </pivotField>
    <pivotField dataField="1" showAll="0"/>
    <pivotField showAll="0"/>
    <pivotField showAll="0"/>
    <pivotField showAll="0">
      <items count="3">
        <item x="1"/>
        <item x="0"/>
        <item t="default"/>
      </items>
    </pivotField>
    <pivotField showAll="0"/>
    <pivotField showAll="0">
      <items count="4">
        <item x="1"/>
        <item x="0"/>
        <item x="2"/>
        <item t="default"/>
      </items>
    </pivotField>
    <pivotField showAll="0">
      <items count="4">
        <item x="2"/>
        <item x="1"/>
        <item x="0"/>
        <item t="default"/>
      </items>
    </pivotField>
    <pivotField showAll="0"/>
    <pivotField showAll="0">
      <items count="6">
        <item x="3"/>
        <item x="0"/>
        <item x="1"/>
        <item x="4"/>
        <item x="2"/>
        <item t="default"/>
      </items>
    </pivotField>
  </pivotFields>
  <rowItems count="1">
    <i/>
  </rowItems>
  <colItems count="1">
    <i/>
  </colItems>
  <dataFields count="1">
    <dataField name="Sum of Total Spen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D0C0D3-2589-480B-AC3D-9F1169B4A9E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G15:H18" firstHeaderRow="1" firstDataRow="1" firstDataCol="1"/>
  <pivotFields count="14">
    <pivotField showAll="0"/>
    <pivotField showAll="0">
      <items count="3">
        <item x="0"/>
        <item x="1"/>
        <item t="default"/>
      </items>
    </pivotField>
    <pivotField showAll="0">
      <items count="17">
        <item x="14"/>
        <item x="4"/>
        <item x="9"/>
        <item x="0"/>
        <item x="3"/>
        <item x="6"/>
        <item x="10"/>
        <item x="12"/>
        <item x="1"/>
        <item x="7"/>
        <item x="11"/>
        <item x="5"/>
        <item x="15"/>
        <item x="8"/>
        <item x="13"/>
        <item x="2"/>
        <item t="default"/>
      </items>
    </pivotField>
    <pivotField showAll="0">
      <items count="7">
        <item x="2"/>
        <item x="5"/>
        <item x="1"/>
        <item x="4"/>
        <item x="0"/>
        <item x="3"/>
        <item t="default"/>
      </items>
    </pivotField>
    <pivotField showAll="0">
      <items count="4">
        <item x="2"/>
        <item x="0"/>
        <item x="1"/>
        <item t="default"/>
      </items>
    </pivotField>
    <pivotField dataField="1" showAll="0"/>
    <pivotField showAll="0"/>
    <pivotField showAll="0"/>
    <pivotField axis="axisRow" showAll="0">
      <items count="3">
        <item x="1"/>
        <item x="0"/>
        <item t="default"/>
      </items>
    </pivotField>
    <pivotField showAll="0"/>
    <pivotField showAll="0">
      <items count="4">
        <item x="1"/>
        <item x="0"/>
        <item x="2"/>
        <item t="default"/>
      </items>
    </pivotField>
    <pivotField showAll="0">
      <items count="4">
        <item x="2"/>
        <item x="1"/>
        <item x="0"/>
        <item t="default"/>
      </items>
    </pivotField>
    <pivotField showAll="0"/>
    <pivotField showAll="0">
      <items count="6">
        <item x="3"/>
        <item x="0"/>
        <item x="1"/>
        <item x="4"/>
        <item x="2"/>
        <item t="default"/>
      </items>
    </pivotField>
  </pivotFields>
  <rowFields count="1">
    <field x="8"/>
  </rowFields>
  <rowItems count="3">
    <i>
      <x/>
    </i>
    <i>
      <x v="1"/>
    </i>
    <i t="grand">
      <x/>
    </i>
  </rowItems>
  <colItems count="1">
    <i/>
  </colItems>
  <dataFields count="1">
    <dataField name="Sum of Total Spen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269790E-4628-4D6A-9B51-72B17897D793}"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5" firstHeaderRow="1" firstDataRow="1" firstDataCol="1"/>
  <pivotFields count="14">
    <pivotField showAll="0"/>
    <pivotField axis="axisRow" showAll="0">
      <items count="3">
        <item x="0"/>
        <item x="1"/>
        <item t="default"/>
      </items>
    </pivotField>
    <pivotField showAll="0"/>
    <pivotField showAll="0">
      <items count="7">
        <item x="2"/>
        <item x="5"/>
        <item x="1"/>
        <item x="4"/>
        <item x="0"/>
        <item x="3"/>
        <item t="default"/>
      </items>
    </pivotField>
    <pivotField showAll="0">
      <items count="4">
        <item x="2"/>
        <item x="0"/>
        <item x="1"/>
        <item t="default"/>
      </items>
    </pivotField>
    <pivotField dataField="1" showAll="0"/>
    <pivotField showAll="0"/>
    <pivotField showAll="0"/>
    <pivotField showAll="0">
      <items count="3">
        <item x="1"/>
        <item x="0"/>
        <item t="default"/>
      </items>
    </pivotField>
    <pivotField showAll="0"/>
    <pivotField showAll="0">
      <items count="4">
        <item x="1"/>
        <item x="0"/>
        <item x="2"/>
        <item t="default"/>
      </items>
    </pivotField>
    <pivotField showAll="0">
      <items count="4">
        <item x="2"/>
        <item x="1"/>
        <item x="0"/>
        <item t="default"/>
      </items>
    </pivotField>
    <pivotField showAll="0"/>
    <pivotField showAll="0">
      <items count="6">
        <item x="3"/>
        <item x="0"/>
        <item x="1"/>
        <item x="4"/>
        <item x="2"/>
        <item t="default"/>
      </items>
    </pivotField>
  </pivotFields>
  <rowFields count="1">
    <field x="1"/>
  </rowFields>
  <rowItems count="3">
    <i>
      <x/>
    </i>
    <i>
      <x v="1"/>
    </i>
    <i t="grand">
      <x/>
    </i>
  </rowItems>
  <colItems count="1">
    <i/>
  </colItems>
  <dataFields count="1">
    <dataField name="Sum of Total Spen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9D4245-1444-40FC-B7F2-BAC51601F3E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8:G9" firstHeaderRow="1" firstDataRow="1" firstDataCol="0"/>
  <pivotFields count="14">
    <pivotField showAll="0"/>
    <pivotField showAll="0">
      <items count="3">
        <item x="0"/>
        <item x="1"/>
        <item t="default"/>
      </items>
    </pivotField>
    <pivotField showAll="0">
      <items count="17">
        <item x="14"/>
        <item x="4"/>
        <item x="9"/>
        <item x="0"/>
        <item x="3"/>
        <item x="6"/>
        <item x="10"/>
        <item x="12"/>
        <item x="1"/>
        <item x="7"/>
        <item x="11"/>
        <item x="5"/>
        <item x="15"/>
        <item x="8"/>
        <item x="13"/>
        <item x="2"/>
        <item t="default"/>
      </items>
    </pivotField>
    <pivotField showAll="0">
      <items count="7">
        <item x="2"/>
        <item x="5"/>
        <item x="1"/>
        <item x="4"/>
        <item x="0"/>
        <item x="3"/>
        <item t="default"/>
      </items>
    </pivotField>
    <pivotField showAll="0">
      <items count="4">
        <item x="2"/>
        <item x="0"/>
        <item x="1"/>
        <item t="default"/>
      </items>
    </pivotField>
    <pivotField dataField="1" showAll="0"/>
    <pivotField showAll="0"/>
    <pivotField showAll="0"/>
    <pivotField showAll="0">
      <items count="3">
        <item x="1"/>
        <item x="0"/>
        <item t="default"/>
      </items>
    </pivotField>
    <pivotField showAll="0"/>
    <pivotField showAll="0">
      <items count="4">
        <item x="1"/>
        <item x="0"/>
        <item x="2"/>
        <item t="default"/>
      </items>
    </pivotField>
    <pivotField showAll="0">
      <items count="4">
        <item x="2"/>
        <item x="1"/>
        <item x="0"/>
        <item t="default"/>
      </items>
    </pivotField>
    <pivotField showAll="0"/>
    <pivotField showAll="0">
      <items count="6">
        <item x="3"/>
        <item x="0"/>
        <item x="1"/>
        <item x="4"/>
        <item x="2"/>
        <item t="default"/>
      </items>
    </pivotField>
  </pivotFields>
  <rowItems count="1">
    <i/>
  </rowItems>
  <colItems count="1">
    <i/>
  </colItems>
  <dataFields count="1">
    <dataField name="Average of Total Spend"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7191E55-FB16-46C9-ADA5-94EC95278BB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4">
    <pivotField showAll="0"/>
    <pivotField showAll="0">
      <items count="3">
        <item x="0"/>
        <item x="1"/>
        <item t="default"/>
      </items>
    </pivotField>
    <pivotField showAll="0"/>
    <pivotField axis="axisRow" showAll="0">
      <items count="7">
        <item x="2"/>
        <item x="5"/>
        <item x="1"/>
        <item x="4"/>
        <item x="0"/>
        <item x="3"/>
        <item t="default"/>
      </items>
    </pivotField>
    <pivotField showAll="0"/>
    <pivotField dataField="1" showAll="0"/>
    <pivotField showAll="0"/>
    <pivotField showAll="0"/>
    <pivotField showAll="0">
      <items count="3">
        <item x="1"/>
        <item x="0"/>
        <item t="default"/>
      </items>
    </pivotField>
    <pivotField showAll="0"/>
    <pivotField showAll="0"/>
    <pivotField showAll="0">
      <items count="4">
        <item x="2"/>
        <item x="1"/>
        <item x="0"/>
        <item t="default"/>
      </items>
    </pivotField>
    <pivotField showAll="0"/>
    <pivotField showAll="0">
      <items count="6">
        <item x="3"/>
        <item x="0"/>
        <item x="1"/>
        <item x="4"/>
        <item x="2"/>
        <item t="default"/>
      </items>
    </pivotField>
  </pivotFields>
  <rowFields count="1">
    <field x="3"/>
  </rowFields>
  <rowItems count="7">
    <i>
      <x/>
    </i>
    <i>
      <x v="1"/>
    </i>
    <i>
      <x v="2"/>
    </i>
    <i>
      <x v="3"/>
    </i>
    <i>
      <x v="4"/>
    </i>
    <i>
      <x v="5"/>
    </i>
    <i t="grand">
      <x/>
    </i>
  </rowItems>
  <colItems count="1">
    <i/>
  </colItems>
  <dataFields count="1">
    <dataField name="Sum of Total Spend"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ency_Group" xr10:uid="{490AF2AE-10E0-4BD2-9B93-E7BD9F2EBE0C}" sourceName="Recency Group">
  <pivotTables>
    <pivotTable tabId="2" name="PivotTable7"/>
    <pivotTable tabId="2" name="PivotTable1"/>
    <pivotTable tabId="2" name="PivotTable10"/>
    <pivotTable tabId="2" name="PivotTable11"/>
    <pivotTable tabId="2" name="PivotTable12"/>
    <pivotTable tabId="2" name="PivotTable2"/>
    <pivotTable tabId="2" name="PivotTable3"/>
    <pivotTable tabId="2" name="PivotTable4"/>
    <pivotTable tabId="2" name="PivotTable5"/>
    <pivotTable tabId="2" name="PivotTable6"/>
    <pivotTable tabId="2" name="PivotTable8"/>
    <pivotTable tabId="2" name="PivotTable9"/>
  </pivotTables>
  <data>
    <tabular pivotCacheId="382007793">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063049A5-F4AD-4FA7-99A6-C50DDE0E7669}" sourceName="Age Group">
  <pivotTables>
    <pivotTable tabId="2" name="PivotTable5"/>
    <pivotTable tabId="2" name="PivotTable8"/>
    <pivotTable tabId="2" name="PivotTable9"/>
    <pivotTable tabId="2" name="PivotTable10"/>
    <pivotTable tabId="2" name="PivotTable11"/>
    <pivotTable tabId="2" name="PivotTable1"/>
    <pivotTable tabId="2" name="PivotTable12"/>
    <pivotTable tabId="2" name="PivotTable2"/>
    <pivotTable tabId="2" name="PivotTable3"/>
    <pivotTable tabId="2" name="PivotTable4"/>
    <pivotTable tabId="2" name="PivotTable6"/>
    <pivotTable tabId="2" name="PivotTable7"/>
  </pivotTables>
  <data>
    <tabular pivotCacheId="382007793">
      <items count="5">
        <i x="3" s="1"/>
        <i x="0" s="1"/>
        <i x="1"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4547C63-9044-4745-9D57-8E0A04A71AA4}" sourceName="Gender">
  <pivotTables>
    <pivotTable tabId="2" name="PivotTable11"/>
    <pivotTable tabId="2" name="PivotTable1"/>
    <pivotTable tabId="2" name="PivotTable12"/>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8200779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Applied" xr10:uid="{2C183ACA-3FEE-4426-B666-CB030AE803B0}" sourceName="Discount Applied">
  <pivotTables>
    <pivotTable tabId="2" name="PivotTable12"/>
    <pivotTable tabId="2" name="PivotTable1"/>
    <pivotTable tabId="2" name="PivotTable10"/>
    <pivotTable tabId="2" name="PivotTable11"/>
    <pivotTable tabId="2" name="PivotTable2"/>
    <pivotTable tabId="2" name="PivotTable3"/>
    <pivotTable tabId="2" name="PivotTable5"/>
    <pivotTable tabId="2" name="PivotTable6"/>
    <pivotTable tabId="2" name="PivotTable7"/>
    <pivotTable tabId="2" name="PivotTable8"/>
    <pivotTable tabId="2" name="PivotTable9"/>
  </pivotTables>
  <data>
    <tabular pivotCacheId="38200779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cency Group" xr10:uid="{071F64CB-D8A4-46AC-BDC7-C1778E7A473B}" cache="Slicer_Recency_Group" caption="Recency Group" rowHeight="247650"/>
  <slicer name="Age Group" xr10:uid="{E66AEA72-2F01-470D-B46E-779AD58922C9}" cache="Slicer_Age_Group" caption="Age Group" rowHeight="247650"/>
  <slicer name="Gender" xr10:uid="{2538B303-1EB7-4AE6-A3D4-601C127A72CA}" cache="Slicer_Gender" caption="Gender" rowHeight="247650"/>
  <slicer name="Discount Applied" xr10:uid="{901E6329-F2B8-40A9-9C8A-44165DB423F4}" cache="Slicer_Discount_Applied" caption="Discount Applied"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C9F824-63D1-4C5D-A298-C63E7B808350}" name="Table1" displayName="Table1" ref="A1:N351" totalsRowShown="0">
  <autoFilter ref="A1:N351" xr:uid="{E6C9F824-63D1-4C5D-A298-C63E7B808350}"/>
  <tableColumns count="14">
    <tableColumn id="1" xr3:uid="{A8E0B89B-D4C2-4F29-8DFB-FEE75D5D4386}" name="Customer ID"/>
    <tableColumn id="2" xr3:uid="{F22B681C-4DEE-4A81-A41F-700A7E781582}" name="Gender"/>
    <tableColumn id="3" xr3:uid="{3BD01CF0-3A90-4B5C-946C-64AF560C4F2F}" name="Age"/>
    <tableColumn id="4" xr3:uid="{50905414-19AE-40A1-B84E-C46745A4FB6E}" name="City"/>
    <tableColumn id="5" xr3:uid="{5C08F327-A186-4DC4-B812-A1BB65AD9983}" name="Membership Type"/>
    <tableColumn id="6" xr3:uid="{233F44E5-E6EF-4F51-8ED2-517A356EF44C}" name="Total Spend"/>
    <tableColumn id="7" xr3:uid="{5200277C-C9FE-4840-94BF-18532BE14092}" name="Items Purchased"/>
    <tableColumn id="8" xr3:uid="{81FE1349-95F5-47D7-A7C7-5CD163D2FB62}" name="Average Rating"/>
    <tableColumn id="9" xr3:uid="{2D22A739-0E6E-4C1E-A501-B0A9228F6570}" name="Discount Applied"/>
    <tableColumn id="10" xr3:uid="{B8C807E9-0821-479F-BB4E-91B3075442E7}" name="Days Since Last Purchase"/>
    <tableColumn id="11" xr3:uid="{2010090A-3587-4952-AEAA-5AD265CBB482}" name="Satisfaction Level"/>
    <tableColumn id="12" xr3:uid="{77894A84-2F29-4CAF-98C3-76E5609762A8}" name="Recency Group" dataDxfId="2">
      <calculatedColumnFormula array="1">_xlfn.IFS(
J2&lt;=15,"Active",
J2&lt;=30,"Warm",
J2&gt;30,"Inactive"
)</calculatedColumnFormula>
    </tableColumn>
    <tableColumn id="13" xr3:uid="{E38AF140-DC6B-44DC-91A9-F92FAD60046F}" name="Customer type" dataDxfId="1">
      <calculatedColumnFormula>IF(F2&gt;1000,"High Value",
IF(F2&gt;500,"Medium Value","Low Value"))</calculatedColumnFormula>
    </tableColumn>
    <tableColumn id="14" xr3:uid="{DADC1373-272B-42C2-ACAA-CF32027620B0}" name="Age Group" dataDxfId="0">
      <calculatedColumnFormula array="1">_xlfn.IFS(
C2&lt;=28,"25-28",
C2&lt;=32,"29-32",
C2&lt;=36,"33-36",
C2&lt;=40,"37-40",
C2&lt;=45,"41-45"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CFE39-FAC2-43F2-87E5-FF59070866B9}">
  <dimension ref="A3:I25"/>
  <sheetViews>
    <sheetView topLeftCell="A10" zoomScale="109" workbookViewId="0">
      <selection activeCell="I22" sqref="I22"/>
    </sheetView>
  </sheetViews>
  <sheetFormatPr defaultRowHeight="14.4" x14ac:dyDescent="0.3"/>
  <cols>
    <col min="1" max="1" width="12.44140625" bestFit="1" customWidth="1"/>
    <col min="2" max="2" width="24" bestFit="1" customWidth="1"/>
    <col min="4" max="4" width="12.44140625" bestFit="1" customWidth="1"/>
    <col min="5" max="5" width="21.77734375" bestFit="1" customWidth="1"/>
    <col min="7" max="7" width="17.44140625" bestFit="1" customWidth="1"/>
    <col min="8" max="8" width="12.5546875" bestFit="1" customWidth="1"/>
    <col min="9" max="9" width="21.77734375" bestFit="1" customWidth="1"/>
  </cols>
  <sheetData>
    <row r="3" spans="1:8" x14ac:dyDescent="0.3">
      <c r="A3" s="1" t="s">
        <v>28</v>
      </c>
      <c r="B3" t="s">
        <v>29</v>
      </c>
      <c r="D3" s="1" t="s">
        <v>28</v>
      </c>
      <c r="E3" t="s">
        <v>41</v>
      </c>
      <c r="G3" t="s">
        <v>31</v>
      </c>
    </row>
    <row r="4" spans="1:8" x14ac:dyDescent="0.3">
      <c r="A4" s="2" t="s">
        <v>19</v>
      </c>
      <c r="B4" s="6">
        <v>28993.200000000001</v>
      </c>
      <c r="D4" s="2" t="s">
        <v>18</v>
      </c>
      <c r="E4" s="6">
        <v>107</v>
      </c>
      <c r="G4" s="6">
        <v>350</v>
      </c>
    </row>
    <row r="5" spans="1:8" x14ac:dyDescent="0.3">
      <c r="A5" s="2" t="s">
        <v>24</v>
      </c>
      <c r="B5" s="6">
        <v>25919.899999999987</v>
      </c>
      <c r="D5" s="2" t="s">
        <v>14</v>
      </c>
      <c r="E5" s="6">
        <v>125</v>
      </c>
      <c r="G5" t="s">
        <v>29</v>
      </c>
    </row>
    <row r="6" spans="1:8" x14ac:dyDescent="0.3">
      <c r="A6" s="2" t="s">
        <v>16</v>
      </c>
      <c r="B6" s="6">
        <v>47524</v>
      </c>
      <c r="D6" s="2" t="s">
        <v>21</v>
      </c>
      <c r="E6" s="6">
        <v>118</v>
      </c>
      <c r="G6" s="6">
        <v>295883.59999999969</v>
      </c>
    </row>
    <row r="7" spans="1:8" x14ac:dyDescent="0.3">
      <c r="A7" s="2" t="s">
        <v>23</v>
      </c>
      <c r="B7" s="6">
        <v>40042.60000000002</v>
      </c>
      <c r="D7" s="2" t="s">
        <v>30</v>
      </c>
      <c r="E7" s="6">
        <v>350</v>
      </c>
    </row>
    <row r="8" spans="1:8" x14ac:dyDescent="0.3">
      <c r="A8" s="2" t="s">
        <v>12</v>
      </c>
      <c r="B8" s="6">
        <v>68737.10000000002</v>
      </c>
      <c r="G8" t="s">
        <v>43</v>
      </c>
    </row>
    <row r="9" spans="1:8" x14ac:dyDescent="0.3">
      <c r="A9" s="2" t="s">
        <v>22</v>
      </c>
      <c r="B9" s="6">
        <v>84666.800000000017</v>
      </c>
      <c r="G9" s="6">
        <v>845.38171428571343</v>
      </c>
    </row>
    <row r="10" spans="1:8" x14ac:dyDescent="0.3">
      <c r="A10" s="2" t="s">
        <v>30</v>
      </c>
      <c r="B10" s="6">
        <v>295883.60000000009</v>
      </c>
    </row>
    <row r="11" spans="1:8" x14ac:dyDescent="0.3">
      <c r="G11" t="s">
        <v>44</v>
      </c>
    </row>
    <row r="12" spans="1:8" x14ac:dyDescent="0.3">
      <c r="A12" s="1" t="s">
        <v>28</v>
      </c>
      <c r="B12" t="s">
        <v>40</v>
      </c>
      <c r="D12" s="1" t="s">
        <v>28</v>
      </c>
      <c r="E12" t="s">
        <v>29</v>
      </c>
      <c r="G12" s="6">
        <v>4.0191428571428487</v>
      </c>
    </row>
    <row r="13" spans="1:8" x14ac:dyDescent="0.3">
      <c r="A13" s="2" t="s">
        <v>20</v>
      </c>
      <c r="B13" s="6">
        <v>116</v>
      </c>
      <c r="D13" s="2" t="s">
        <v>11</v>
      </c>
      <c r="E13" s="6">
        <v>123170.00000000015</v>
      </c>
    </row>
    <row r="14" spans="1:8" x14ac:dyDescent="0.3">
      <c r="A14" s="2" t="s">
        <v>13</v>
      </c>
      <c r="B14" s="6">
        <v>117</v>
      </c>
      <c r="D14" s="2" t="s">
        <v>15</v>
      </c>
      <c r="E14" s="6">
        <v>172713.59999999995</v>
      </c>
    </row>
    <row r="15" spans="1:8" x14ac:dyDescent="0.3">
      <c r="A15" s="2" t="s">
        <v>17</v>
      </c>
      <c r="B15" s="6">
        <v>117</v>
      </c>
      <c r="D15" s="2" t="s">
        <v>30</v>
      </c>
      <c r="E15" s="6">
        <v>295883.60000000009</v>
      </c>
      <c r="G15" s="1" t="s">
        <v>28</v>
      </c>
      <c r="H15" t="s">
        <v>29</v>
      </c>
    </row>
    <row r="16" spans="1:8" x14ac:dyDescent="0.3">
      <c r="A16" s="2" t="s">
        <v>30</v>
      </c>
      <c r="B16" s="6">
        <v>350</v>
      </c>
      <c r="G16" s="2" t="s">
        <v>48</v>
      </c>
      <c r="H16" s="6">
        <v>158110.69999999995</v>
      </c>
    </row>
    <row r="17" spans="1:9" x14ac:dyDescent="0.3">
      <c r="G17" s="2" t="s">
        <v>49</v>
      </c>
      <c r="H17" s="6">
        <v>137772.90000000008</v>
      </c>
    </row>
    <row r="18" spans="1:9" x14ac:dyDescent="0.3">
      <c r="A18" s="1" t="s">
        <v>28</v>
      </c>
      <c r="B18" t="s">
        <v>29</v>
      </c>
      <c r="G18" s="2" t="s">
        <v>30</v>
      </c>
      <c r="H18" s="6">
        <v>295883.60000000003</v>
      </c>
    </row>
    <row r="19" spans="1:9" x14ac:dyDescent="0.3">
      <c r="A19" s="2" t="s">
        <v>35</v>
      </c>
      <c r="B19" s="6">
        <v>59788.299999999996</v>
      </c>
    </row>
    <row r="20" spans="1:9" x14ac:dyDescent="0.3">
      <c r="A20" s="2" t="s">
        <v>36</v>
      </c>
      <c r="B20" s="6">
        <v>133018.30000000013</v>
      </c>
      <c r="D20" s="1" t="s">
        <v>28</v>
      </c>
      <c r="E20" t="s">
        <v>42</v>
      </c>
    </row>
    <row r="21" spans="1:9" x14ac:dyDescent="0.3">
      <c r="A21" s="2" t="s">
        <v>37</v>
      </c>
      <c r="B21" s="6">
        <v>59716.499999999993</v>
      </c>
      <c r="D21" s="2" t="s">
        <v>32</v>
      </c>
      <c r="E21" s="6">
        <v>93</v>
      </c>
      <c r="H21" s="1" t="s">
        <v>28</v>
      </c>
      <c r="I21" t="s">
        <v>50</v>
      </c>
    </row>
    <row r="22" spans="1:9" x14ac:dyDescent="0.3">
      <c r="A22" s="2" t="s">
        <v>38</v>
      </c>
      <c r="B22" s="6">
        <v>14367.299999999992</v>
      </c>
      <c r="D22" s="2" t="s">
        <v>33</v>
      </c>
      <c r="E22" s="6">
        <v>124</v>
      </c>
      <c r="H22" s="2" t="s">
        <v>51</v>
      </c>
      <c r="I22" s="6">
        <v>2061</v>
      </c>
    </row>
    <row r="23" spans="1:9" x14ac:dyDescent="0.3">
      <c r="A23" s="2" t="s">
        <v>39</v>
      </c>
      <c r="B23" s="6">
        <v>28993.200000000001</v>
      </c>
      <c r="D23" s="2" t="s">
        <v>34</v>
      </c>
      <c r="E23" s="6">
        <v>133</v>
      </c>
      <c r="H23" s="2" t="s">
        <v>52</v>
      </c>
      <c r="I23" s="6">
        <v>666</v>
      </c>
    </row>
    <row r="24" spans="1:9" x14ac:dyDescent="0.3">
      <c r="A24" s="2" t="s">
        <v>30</v>
      </c>
      <c r="B24" s="6">
        <v>295883.60000000015</v>
      </c>
      <c r="D24" s="2" t="s">
        <v>30</v>
      </c>
      <c r="E24" s="6">
        <v>350</v>
      </c>
      <c r="H24" s="2" t="s">
        <v>53</v>
      </c>
      <c r="I24" s="6">
        <v>1683</v>
      </c>
    </row>
    <row r="25" spans="1:9" x14ac:dyDescent="0.3">
      <c r="H25" s="2" t="s">
        <v>30</v>
      </c>
      <c r="I25" s="6">
        <v>4410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A861F-3A2B-4D0C-8F72-C6455916218A}">
  <dimension ref="B4:Q60"/>
  <sheetViews>
    <sheetView showGridLines="0" tabSelected="1" zoomScale="47" zoomScaleNormal="117" workbookViewId="0">
      <selection activeCell="V30" sqref="V30"/>
    </sheetView>
  </sheetViews>
  <sheetFormatPr defaultRowHeight="14.4" x14ac:dyDescent="0.3"/>
  <cols>
    <col min="2" max="2" width="14.21875" bestFit="1" customWidth="1"/>
    <col min="3" max="3" width="12.6640625" bestFit="1" customWidth="1"/>
  </cols>
  <sheetData>
    <row r="4" spans="17:17" x14ac:dyDescent="0.3">
      <c r="Q4" s="4"/>
    </row>
    <row r="57" spans="2:3" x14ac:dyDescent="0.3">
      <c r="B57" t="s">
        <v>46</v>
      </c>
      <c r="C57" s="5">
        <f>GETPIVOTDATA("Total Spend",Sheet1!$G$5)</f>
        <v>295883.59999999969</v>
      </c>
    </row>
    <row r="58" spans="2:3" x14ac:dyDescent="0.3">
      <c r="B58" t="s">
        <v>45</v>
      </c>
      <c r="C58">
        <f>GETPIVOTDATA("Customer ID",Sheet1!$G$3)</f>
        <v>350</v>
      </c>
    </row>
    <row r="59" spans="2:3" x14ac:dyDescent="0.3">
      <c r="B59" t="s">
        <v>47</v>
      </c>
      <c r="C59" s="5">
        <f>GETPIVOTDATA("Total Spend",Sheet1!$G$8)</f>
        <v>845.38171428571343</v>
      </c>
    </row>
    <row r="60" spans="2:3" x14ac:dyDescent="0.3">
      <c r="B60" t="s">
        <v>7</v>
      </c>
      <c r="C60" s="3">
        <f>GETPIVOTDATA("Average Rating",Sheet1!$G$11)</f>
        <v>4.0191428571428487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E953D-A5C9-4633-9E6E-22157EA08548}">
  <dimension ref="A1:N351"/>
  <sheetViews>
    <sheetView topLeftCell="A336" zoomScale="88" workbookViewId="0">
      <selection activeCell="I8" sqref="I8"/>
    </sheetView>
  </sheetViews>
  <sheetFormatPr defaultRowHeight="14.4" x14ac:dyDescent="0.3"/>
  <cols>
    <col min="1" max="1" width="13.109375" customWidth="1"/>
    <col min="2" max="2" width="9" customWidth="1"/>
    <col min="5" max="5" width="17.5546875" customWidth="1"/>
    <col min="6" max="6" width="12.6640625" customWidth="1"/>
    <col min="7" max="7" width="16.77734375" customWidth="1"/>
    <col min="8" max="8" width="15" customWidth="1"/>
    <col min="9" max="9" width="17.109375" customWidth="1"/>
    <col min="10" max="10" width="23.6640625" customWidth="1"/>
    <col min="11" max="11" width="17.5546875" customWidth="1"/>
    <col min="12" max="12" width="15.88671875" bestFit="1" customWidth="1"/>
    <col min="13" max="13" width="15.44140625" bestFit="1" customWidth="1"/>
    <col min="14" max="14" width="11.77734375" bestFit="1" customWidth="1"/>
  </cols>
  <sheetData>
    <row r="1" spans="1:14" x14ac:dyDescent="0.3">
      <c r="A1" t="s">
        <v>0</v>
      </c>
      <c r="B1" t="s">
        <v>1</v>
      </c>
      <c r="C1" t="s">
        <v>2</v>
      </c>
      <c r="D1" t="s">
        <v>3</v>
      </c>
      <c r="E1" t="s">
        <v>4</v>
      </c>
      <c r="F1" t="s">
        <v>5</v>
      </c>
      <c r="G1" t="s">
        <v>6</v>
      </c>
      <c r="H1" t="s">
        <v>7</v>
      </c>
      <c r="I1" t="s">
        <v>8</v>
      </c>
      <c r="J1" t="s">
        <v>9</v>
      </c>
      <c r="K1" t="s">
        <v>10</v>
      </c>
      <c r="L1" t="s">
        <v>27</v>
      </c>
      <c r="M1" t="s">
        <v>26</v>
      </c>
      <c r="N1" t="s">
        <v>25</v>
      </c>
    </row>
    <row r="2" spans="1:14" x14ac:dyDescent="0.3">
      <c r="A2">
        <v>101</v>
      </c>
      <c r="B2" t="s">
        <v>11</v>
      </c>
      <c r="C2">
        <v>29</v>
      </c>
      <c r="D2" t="s">
        <v>12</v>
      </c>
      <c r="E2" t="s">
        <v>13</v>
      </c>
      <c r="F2">
        <v>1120.2</v>
      </c>
      <c r="G2">
        <v>14</v>
      </c>
      <c r="H2">
        <v>4.5999999999999996</v>
      </c>
      <c r="I2" t="b">
        <v>1</v>
      </c>
      <c r="J2">
        <v>25</v>
      </c>
      <c r="K2" t="s">
        <v>14</v>
      </c>
      <c r="L2" t="str" cm="1">
        <f t="array" ref="L2">_xlfn.IFS(
J2&lt;=15,"Active",
J2&lt;=30,"Warm",
J2&gt;30,"Inactive"
)</f>
        <v>Warm</v>
      </c>
      <c r="M2" t="str">
        <f t="shared" ref="M2:M65" si="0">IF(F2&gt;1000,"High Value",
IF(F2&gt;500,"Medium Value","Low Value"))</f>
        <v>High Value</v>
      </c>
      <c r="N2" t="str" cm="1">
        <f t="array" ref="N2">_xlfn.IFS(
C2&lt;=28,"25-28",
C2&lt;=32,"29-32",
C2&lt;=36,"33-36",
C2&lt;=40,"37-40",
C2&lt;=45,"41-45"
)</f>
        <v>29-32</v>
      </c>
    </row>
    <row r="3" spans="1:14" x14ac:dyDescent="0.3">
      <c r="A3">
        <v>102</v>
      </c>
      <c r="B3" t="s">
        <v>15</v>
      </c>
      <c r="C3">
        <v>34</v>
      </c>
      <c r="D3" t="s">
        <v>16</v>
      </c>
      <c r="E3" t="s">
        <v>17</v>
      </c>
      <c r="F3">
        <v>780.5</v>
      </c>
      <c r="G3">
        <v>11</v>
      </c>
      <c r="H3">
        <v>4.0999999999999996</v>
      </c>
      <c r="I3" t="b">
        <v>0</v>
      </c>
      <c r="J3">
        <v>18</v>
      </c>
      <c r="K3" t="s">
        <v>18</v>
      </c>
      <c r="L3" t="str" cm="1">
        <f t="array" ref="L3">_xlfn.IFS(
J3&lt;=15,"Active",
J3&lt;=30,"Warm",
J3&gt;30,"Inactive"
)</f>
        <v>Warm</v>
      </c>
      <c r="M3" t="str">
        <f t="shared" si="0"/>
        <v>Medium Value</v>
      </c>
      <c r="N3" t="str" cm="1">
        <f t="array" ref="N3">_xlfn.IFS(
C3&lt;=28,"25-28",
C3&lt;=32,"29-32",
C3&lt;=36,"33-36",
C3&lt;=40,"37-40",
C3&lt;=45,"41-45"
)</f>
        <v>33-36</v>
      </c>
    </row>
    <row r="4" spans="1:14" x14ac:dyDescent="0.3">
      <c r="A4">
        <v>103</v>
      </c>
      <c r="B4" t="s">
        <v>11</v>
      </c>
      <c r="C4">
        <v>43</v>
      </c>
      <c r="D4" t="s">
        <v>19</v>
      </c>
      <c r="E4" t="s">
        <v>20</v>
      </c>
      <c r="F4">
        <v>510.75</v>
      </c>
      <c r="G4">
        <v>9</v>
      </c>
      <c r="H4">
        <v>3.4</v>
      </c>
      <c r="I4" t="b">
        <v>1</v>
      </c>
      <c r="J4">
        <v>42</v>
      </c>
      <c r="K4" t="s">
        <v>21</v>
      </c>
      <c r="L4" t="str" cm="1">
        <f t="array" ref="L4">_xlfn.IFS(
J4&lt;=15,"Active",
J4&lt;=30,"Warm",
J4&gt;30,"Inactive"
)</f>
        <v>Inactive</v>
      </c>
      <c r="M4" t="str">
        <f t="shared" si="0"/>
        <v>Medium Value</v>
      </c>
      <c r="N4" t="str" cm="1">
        <f t="array" ref="N4">_xlfn.IFS(
C4&lt;=28,"25-28",
C4&lt;=32,"29-32",
C4&lt;=36,"33-36",
C4&lt;=40,"37-40",
C4&lt;=45,"41-45"
)</f>
        <v>41-45</v>
      </c>
    </row>
    <row r="5" spans="1:14" x14ac:dyDescent="0.3">
      <c r="A5">
        <v>104</v>
      </c>
      <c r="B5" t="s">
        <v>15</v>
      </c>
      <c r="C5">
        <v>30</v>
      </c>
      <c r="D5" t="s">
        <v>22</v>
      </c>
      <c r="E5" t="s">
        <v>13</v>
      </c>
      <c r="F5">
        <v>1480.3</v>
      </c>
      <c r="G5">
        <v>19</v>
      </c>
      <c r="H5">
        <v>4.7</v>
      </c>
      <c r="I5" t="b">
        <v>0</v>
      </c>
      <c r="J5">
        <v>12</v>
      </c>
      <c r="K5" t="s">
        <v>14</v>
      </c>
      <c r="L5" t="str" cm="1">
        <f t="array" ref="L5">_xlfn.IFS(
J5&lt;=15,"Active",
J5&lt;=30,"Warm",
J5&gt;30,"Inactive"
)</f>
        <v>Active</v>
      </c>
      <c r="M5" t="str">
        <f t="shared" si="0"/>
        <v>High Value</v>
      </c>
      <c r="N5" t="str" cm="1">
        <f t="array" ref="N5">_xlfn.IFS(
C5&lt;=28,"25-28",
C5&lt;=32,"29-32",
C5&lt;=36,"33-36",
C5&lt;=40,"37-40",
C5&lt;=45,"41-45"
)</f>
        <v>29-32</v>
      </c>
    </row>
    <row r="6" spans="1:14" x14ac:dyDescent="0.3">
      <c r="A6">
        <v>105</v>
      </c>
      <c r="B6" t="s">
        <v>15</v>
      </c>
      <c r="C6">
        <v>27</v>
      </c>
      <c r="D6" t="s">
        <v>23</v>
      </c>
      <c r="E6" t="s">
        <v>17</v>
      </c>
      <c r="F6">
        <v>720.4</v>
      </c>
      <c r="G6">
        <v>13</v>
      </c>
      <c r="H6">
        <v>4</v>
      </c>
      <c r="I6" t="b">
        <v>1</v>
      </c>
      <c r="J6">
        <v>55</v>
      </c>
      <c r="K6" t="s">
        <v>21</v>
      </c>
      <c r="L6" t="str" cm="1">
        <f t="array" ref="L6">_xlfn.IFS(
J6&lt;=15,"Active",
J6&lt;=30,"Warm",
J6&gt;30,"Inactive"
)</f>
        <v>Inactive</v>
      </c>
      <c r="M6" t="str">
        <f t="shared" si="0"/>
        <v>Medium Value</v>
      </c>
      <c r="N6" t="str" cm="1">
        <f t="array" ref="N6">_xlfn.IFS(
C6&lt;=28,"25-28",
C6&lt;=32,"29-32",
C6&lt;=36,"33-36",
C6&lt;=40,"37-40",
C6&lt;=45,"41-45"
)</f>
        <v>25-28</v>
      </c>
    </row>
    <row r="7" spans="1:14" x14ac:dyDescent="0.3">
      <c r="A7">
        <v>106</v>
      </c>
      <c r="B7" t="s">
        <v>11</v>
      </c>
      <c r="C7">
        <v>37</v>
      </c>
      <c r="D7" t="s">
        <v>24</v>
      </c>
      <c r="E7" t="s">
        <v>20</v>
      </c>
      <c r="F7">
        <v>440.8</v>
      </c>
      <c r="G7">
        <v>8</v>
      </c>
      <c r="H7">
        <v>3.1</v>
      </c>
      <c r="I7" t="b">
        <v>0</v>
      </c>
      <c r="J7">
        <v>22</v>
      </c>
      <c r="K7" t="s">
        <v>18</v>
      </c>
      <c r="L7" t="str" cm="1">
        <f t="array" ref="L7">_xlfn.IFS(
J7&lt;=15,"Active",
J7&lt;=30,"Warm",
J7&gt;30,"Inactive"
)</f>
        <v>Warm</v>
      </c>
      <c r="M7" t="str">
        <f t="shared" si="0"/>
        <v>Low Value</v>
      </c>
      <c r="N7" t="str" cm="1">
        <f t="array" ref="N7">_xlfn.IFS(
C7&lt;=28,"25-28",
C7&lt;=32,"29-32",
C7&lt;=36,"33-36",
C7&lt;=40,"37-40",
C7&lt;=45,"41-45"
)</f>
        <v>37-40</v>
      </c>
    </row>
    <row r="8" spans="1:14" x14ac:dyDescent="0.3">
      <c r="A8">
        <v>107</v>
      </c>
      <c r="B8" t="s">
        <v>11</v>
      </c>
      <c r="C8">
        <v>31</v>
      </c>
      <c r="D8" t="s">
        <v>12</v>
      </c>
      <c r="E8" t="s">
        <v>13</v>
      </c>
      <c r="F8">
        <v>1150.5999999999999</v>
      </c>
      <c r="G8">
        <v>15</v>
      </c>
      <c r="H8">
        <v>4.5</v>
      </c>
      <c r="I8" t="b">
        <v>1</v>
      </c>
      <c r="J8">
        <v>28</v>
      </c>
      <c r="K8" t="s">
        <v>14</v>
      </c>
      <c r="L8" t="str" cm="1">
        <f t="array" ref="L8">_xlfn.IFS(
J8&lt;=15,"Active",
J8&lt;=30,"Warm",
J8&gt;30,"Inactive"
)</f>
        <v>Warm</v>
      </c>
      <c r="M8" t="str">
        <f t="shared" si="0"/>
        <v>High Value</v>
      </c>
      <c r="N8" t="str" cm="1">
        <f t="array" ref="N8">_xlfn.IFS(
C8&lt;=28,"25-28",
C8&lt;=32,"29-32",
C8&lt;=36,"33-36",
C8&lt;=40,"37-40",
C8&lt;=45,"41-45"
)</f>
        <v>29-32</v>
      </c>
    </row>
    <row r="9" spans="1:14" x14ac:dyDescent="0.3">
      <c r="A9">
        <v>108</v>
      </c>
      <c r="B9" t="s">
        <v>15</v>
      </c>
      <c r="C9">
        <v>35</v>
      </c>
      <c r="D9" t="s">
        <v>16</v>
      </c>
      <c r="E9" t="s">
        <v>17</v>
      </c>
      <c r="F9">
        <v>800.9</v>
      </c>
      <c r="G9">
        <v>12</v>
      </c>
      <c r="H9">
        <v>4.2</v>
      </c>
      <c r="I9" t="b">
        <v>0</v>
      </c>
      <c r="J9">
        <v>14</v>
      </c>
      <c r="K9" t="s">
        <v>18</v>
      </c>
      <c r="L9" t="str" cm="1">
        <f t="array" ref="L9">_xlfn.IFS(
J9&lt;=15,"Active",
J9&lt;=30,"Warm",
J9&gt;30,"Inactive"
)</f>
        <v>Active</v>
      </c>
      <c r="M9" t="str">
        <f t="shared" si="0"/>
        <v>Medium Value</v>
      </c>
      <c r="N9" t="str" cm="1">
        <f t="array" ref="N9">_xlfn.IFS(
C9&lt;=28,"25-28",
C9&lt;=32,"29-32",
C9&lt;=36,"33-36",
C9&lt;=40,"37-40",
C9&lt;=45,"41-45"
)</f>
        <v>33-36</v>
      </c>
    </row>
    <row r="10" spans="1:14" x14ac:dyDescent="0.3">
      <c r="A10">
        <v>109</v>
      </c>
      <c r="B10" t="s">
        <v>11</v>
      </c>
      <c r="C10">
        <v>41</v>
      </c>
      <c r="D10" t="s">
        <v>19</v>
      </c>
      <c r="E10" t="s">
        <v>20</v>
      </c>
      <c r="F10">
        <v>495.25</v>
      </c>
      <c r="G10">
        <v>10</v>
      </c>
      <c r="H10">
        <v>3.6</v>
      </c>
      <c r="I10" t="b">
        <v>1</v>
      </c>
      <c r="J10">
        <v>40</v>
      </c>
      <c r="K10" t="s">
        <v>21</v>
      </c>
      <c r="L10" t="str" cm="1">
        <f t="array" ref="L10">_xlfn.IFS(
J10&lt;=15,"Active",
J10&lt;=30,"Warm",
J10&gt;30,"Inactive"
)</f>
        <v>Inactive</v>
      </c>
      <c r="M10" t="str">
        <f t="shared" si="0"/>
        <v>Low Value</v>
      </c>
      <c r="N10" t="str" cm="1">
        <f t="array" ref="N10">_xlfn.IFS(
C10&lt;=28,"25-28",
C10&lt;=32,"29-32",
C10&lt;=36,"33-36",
C10&lt;=40,"37-40",
C10&lt;=45,"41-45"
)</f>
        <v>41-45</v>
      </c>
    </row>
    <row r="11" spans="1:14" x14ac:dyDescent="0.3">
      <c r="A11">
        <v>110</v>
      </c>
      <c r="B11" t="s">
        <v>15</v>
      </c>
      <c r="C11">
        <v>28</v>
      </c>
      <c r="D11" t="s">
        <v>22</v>
      </c>
      <c r="E11" t="s">
        <v>13</v>
      </c>
      <c r="F11">
        <v>1520.1</v>
      </c>
      <c r="G11">
        <v>21</v>
      </c>
      <c r="H11">
        <v>4.8</v>
      </c>
      <c r="I11" t="b">
        <v>0</v>
      </c>
      <c r="J11">
        <v>9</v>
      </c>
      <c r="K11" t="s">
        <v>14</v>
      </c>
      <c r="L11" t="str" cm="1">
        <f t="array" ref="L11">_xlfn.IFS(
J11&lt;=15,"Active",
J11&lt;=30,"Warm",
J11&gt;30,"Inactive"
)</f>
        <v>Active</v>
      </c>
      <c r="M11" t="str">
        <f t="shared" si="0"/>
        <v>High Value</v>
      </c>
      <c r="N11" t="str" cm="1">
        <f t="array" ref="N11">_xlfn.IFS(
C11&lt;=28,"25-28",
C11&lt;=32,"29-32",
C11&lt;=36,"33-36",
C11&lt;=40,"37-40",
C11&lt;=45,"41-45"
)</f>
        <v>25-28</v>
      </c>
    </row>
    <row r="12" spans="1:14" x14ac:dyDescent="0.3">
      <c r="A12">
        <v>111</v>
      </c>
      <c r="B12" t="s">
        <v>15</v>
      </c>
      <c r="C12">
        <v>32</v>
      </c>
      <c r="D12" t="s">
        <v>23</v>
      </c>
      <c r="E12" t="s">
        <v>17</v>
      </c>
      <c r="F12">
        <v>690.3</v>
      </c>
      <c r="G12">
        <v>11</v>
      </c>
      <c r="H12">
        <v>3.8</v>
      </c>
      <c r="I12" t="b">
        <v>1</v>
      </c>
      <c r="J12">
        <v>34</v>
      </c>
      <c r="K12" t="s">
        <v>21</v>
      </c>
      <c r="L12" t="str" cm="1">
        <f t="array" ref="L12">_xlfn.IFS(
J12&lt;=15,"Active",
J12&lt;=30,"Warm",
J12&gt;30,"Inactive"
)</f>
        <v>Inactive</v>
      </c>
      <c r="M12" t="str">
        <f t="shared" si="0"/>
        <v>Medium Value</v>
      </c>
      <c r="N12" t="str" cm="1">
        <f t="array" ref="N12">_xlfn.IFS(
C12&lt;=28,"25-28",
C12&lt;=32,"29-32",
C12&lt;=36,"33-36",
C12&lt;=40,"37-40",
C12&lt;=45,"41-45"
)</f>
        <v>29-32</v>
      </c>
    </row>
    <row r="13" spans="1:14" x14ac:dyDescent="0.3">
      <c r="A13">
        <v>112</v>
      </c>
      <c r="B13" t="s">
        <v>11</v>
      </c>
      <c r="C13">
        <v>36</v>
      </c>
      <c r="D13" t="s">
        <v>24</v>
      </c>
      <c r="E13" t="s">
        <v>20</v>
      </c>
      <c r="F13">
        <v>470.5</v>
      </c>
      <c r="G13">
        <v>7</v>
      </c>
      <c r="H13">
        <v>3.2</v>
      </c>
      <c r="I13" t="b">
        <v>0</v>
      </c>
      <c r="J13">
        <v>20</v>
      </c>
      <c r="K13" t="s">
        <v>18</v>
      </c>
      <c r="L13" t="str" cm="1">
        <f t="array" ref="L13">_xlfn.IFS(
J13&lt;=15,"Active",
J13&lt;=30,"Warm",
J13&gt;30,"Inactive"
)</f>
        <v>Warm</v>
      </c>
      <c r="M13" t="str">
        <f t="shared" si="0"/>
        <v>Low Value</v>
      </c>
      <c r="N13" t="str" cm="1">
        <f t="array" ref="N13">_xlfn.IFS(
C13&lt;=28,"25-28",
C13&lt;=32,"29-32",
C13&lt;=36,"33-36",
C13&lt;=40,"37-40",
C13&lt;=45,"41-45"
)</f>
        <v>33-36</v>
      </c>
    </row>
    <row r="14" spans="1:14" x14ac:dyDescent="0.3">
      <c r="A14">
        <v>113</v>
      </c>
      <c r="B14" t="s">
        <v>11</v>
      </c>
      <c r="C14">
        <v>30</v>
      </c>
      <c r="D14" t="s">
        <v>12</v>
      </c>
      <c r="E14" t="s">
        <v>13</v>
      </c>
      <c r="F14">
        <v>1200.8</v>
      </c>
      <c r="G14">
        <v>16</v>
      </c>
      <c r="H14">
        <v>4.3</v>
      </c>
      <c r="I14" t="b">
        <v>1</v>
      </c>
      <c r="J14">
        <v>21</v>
      </c>
      <c r="K14" t="s">
        <v>14</v>
      </c>
      <c r="L14" t="str" cm="1">
        <f t="array" ref="L14">_xlfn.IFS(
J14&lt;=15,"Active",
J14&lt;=30,"Warm",
J14&gt;30,"Inactive"
)</f>
        <v>Warm</v>
      </c>
      <c r="M14" t="str">
        <f t="shared" si="0"/>
        <v>High Value</v>
      </c>
      <c r="N14" t="str" cm="1">
        <f t="array" ref="N14">_xlfn.IFS(
C14&lt;=28,"25-28",
C14&lt;=32,"29-32",
C14&lt;=36,"33-36",
C14&lt;=40,"37-40",
C14&lt;=45,"41-45"
)</f>
        <v>29-32</v>
      </c>
    </row>
    <row r="15" spans="1:14" x14ac:dyDescent="0.3">
      <c r="A15">
        <v>114</v>
      </c>
      <c r="B15" t="s">
        <v>15</v>
      </c>
      <c r="C15">
        <v>33</v>
      </c>
      <c r="D15" t="s">
        <v>16</v>
      </c>
      <c r="E15" t="s">
        <v>17</v>
      </c>
      <c r="F15">
        <v>820.75</v>
      </c>
      <c r="G15">
        <v>13</v>
      </c>
      <c r="H15">
        <v>4.4000000000000004</v>
      </c>
      <c r="I15" t="b">
        <v>0</v>
      </c>
      <c r="J15">
        <v>15</v>
      </c>
      <c r="K15" t="s">
        <v>14</v>
      </c>
      <c r="L15" t="str" cm="1">
        <f t="array" ref="L15">_xlfn.IFS(
J15&lt;=15,"Active",
J15&lt;=30,"Warm",
J15&gt;30,"Inactive"
)</f>
        <v>Active</v>
      </c>
      <c r="M15" t="str">
        <f t="shared" si="0"/>
        <v>Medium Value</v>
      </c>
      <c r="N15" t="str" cm="1">
        <f t="array" ref="N15">_xlfn.IFS(
C15&lt;=28,"25-28",
C15&lt;=32,"29-32",
C15&lt;=36,"33-36",
C15&lt;=40,"37-40",
C15&lt;=45,"41-45"
)</f>
        <v>33-36</v>
      </c>
    </row>
    <row r="16" spans="1:14" x14ac:dyDescent="0.3">
      <c r="A16">
        <v>115</v>
      </c>
      <c r="B16" t="s">
        <v>11</v>
      </c>
      <c r="C16">
        <v>42</v>
      </c>
      <c r="D16" t="s">
        <v>19</v>
      </c>
      <c r="E16" t="s">
        <v>20</v>
      </c>
      <c r="F16">
        <v>530.4</v>
      </c>
      <c r="G16">
        <v>9</v>
      </c>
      <c r="H16">
        <v>3.5</v>
      </c>
      <c r="I16" t="b">
        <v>1</v>
      </c>
      <c r="J16">
        <v>38</v>
      </c>
      <c r="K16" t="s">
        <v>21</v>
      </c>
      <c r="L16" t="str" cm="1">
        <f t="array" ref="L16">_xlfn.IFS(
J16&lt;=15,"Active",
J16&lt;=30,"Warm",
J16&gt;30,"Inactive"
)</f>
        <v>Inactive</v>
      </c>
      <c r="M16" t="str">
        <f t="shared" si="0"/>
        <v>Medium Value</v>
      </c>
      <c r="N16" t="str" cm="1">
        <f t="array" ref="N16">_xlfn.IFS(
C16&lt;=28,"25-28",
C16&lt;=32,"29-32",
C16&lt;=36,"33-36",
C16&lt;=40,"37-40",
C16&lt;=45,"41-45"
)</f>
        <v>41-45</v>
      </c>
    </row>
    <row r="17" spans="1:14" x14ac:dyDescent="0.3">
      <c r="A17">
        <v>116</v>
      </c>
      <c r="B17" t="s">
        <v>15</v>
      </c>
      <c r="C17">
        <v>29</v>
      </c>
      <c r="D17" t="s">
        <v>22</v>
      </c>
      <c r="E17" t="s">
        <v>13</v>
      </c>
      <c r="F17">
        <v>1360.2</v>
      </c>
      <c r="G17">
        <v>18</v>
      </c>
      <c r="H17">
        <v>4.9000000000000004</v>
      </c>
      <c r="I17" t="b">
        <v>0</v>
      </c>
      <c r="J17">
        <v>11</v>
      </c>
      <c r="K17" t="s">
        <v>14</v>
      </c>
      <c r="L17" t="str" cm="1">
        <f t="array" ref="L17">_xlfn.IFS(
J17&lt;=15,"Active",
J17&lt;=30,"Warm",
J17&gt;30,"Inactive"
)</f>
        <v>Active</v>
      </c>
      <c r="M17" t="str">
        <f t="shared" si="0"/>
        <v>High Value</v>
      </c>
      <c r="N17" t="str" cm="1">
        <f t="array" ref="N17">_xlfn.IFS(
C17&lt;=28,"25-28",
C17&lt;=32,"29-32",
C17&lt;=36,"33-36",
C17&lt;=40,"37-40",
C17&lt;=45,"41-45"
)</f>
        <v>29-32</v>
      </c>
    </row>
    <row r="18" spans="1:14" x14ac:dyDescent="0.3">
      <c r="A18">
        <v>117</v>
      </c>
      <c r="B18" t="s">
        <v>15</v>
      </c>
      <c r="C18">
        <v>26</v>
      </c>
      <c r="D18" t="s">
        <v>23</v>
      </c>
      <c r="E18" t="s">
        <v>17</v>
      </c>
      <c r="F18">
        <v>700.6</v>
      </c>
      <c r="G18">
        <v>12</v>
      </c>
      <c r="H18">
        <v>3.7</v>
      </c>
      <c r="I18" t="b">
        <v>1</v>
      </c>
      <c r="J18">
        <v>48</v>
      </c>
      <c r="K18" t="s">
        <v>21</v>
      </c>
      <c r="L18" t="str" cm="1">
        <f t="array" ref="L18">_xlfn.IFS(
J18&lt;=15,"Active",
J18&lt;=30,"Warm",
J18&gt;30,"Inactive"
)</f>
        <v>Inactive</v>
      </c>
      <c r="M18" t="str">
        <f t="shared" si="0"/>
        <v>Medium Value</v>
      </c>
      <c r="N18" t="str" cm="1">
        <f t="array" ref="N18">_xlfn.IFS(
C18&lt;=28,"25-28",
C18&lt;=32,"29-32",
C18&lt;=36,"33-36",
C18&lt;=40,"37-40",
C18&lt;=45,"41-45"
)</f>
        <v>25-28</v>
      </c>
    </row>
    <row r="19" spans="1:14" x14ac:dyDescent="0.3">
      <c r="A19">
        <v>118</v>
      </c>
      <c r="B19" t="s">
        <v>11</v>
      </c>
      <c r="C19">
        <v>38</v>
      </c>
      <c r="D19" t="s">
        <v>24</v>
      </c>
      <c r="E19" t="s">
        <v>20</v>
      </c>
      <c r="F19">
        <v>450.9</v>
      </c>
      <c r="G19">
        <v>8</v>
      </c>
      <c r="H19">
        <v>3</v>
      </c>
      <c r="I19" t="b">
        <v>0</v>
      </c>
      <c r="J19">
        <v>25</v>
      </c>
      <c r="K19" t="s">
        <v>18</v>
      </c>
      <c r="L19" t="str" cm="1">
        <f t="array" ref="L19">_xlfn.IFS(
J19&lt;=15,"Active",
J19&lt;=30,"Warm",
J19&gt;30,"Inactive"
)</f>
        <v>Warm</v>
      </c>
      <c r="M19" t="str">
        <f t="shared" si="0"/>
        <v>Low Value</v>
      </c>
      <c r="N19" t="str" cm="1">
        <f t="array" ref="N19">_xlfn.IFS(
C19&lt;=28,"25-28",
C19&lt;=32,"29-32",
C19&lt;=36,"33-36",
C19&lt;=40,"37-40",
C19&lt;=45,"41-45"
)</f>
        <v>37-40</v>
      </c>
    </row>
    <row r="20" spans="1:14" x14ac:dyDescent="0.3">
      <c r="A20">
        <v>119</v>
      </c>
      <c r="B20" t="s">
        <v>11</v>
      </c>
      <c r="C20">
        <v>32</v>
      </c>
      <c r="D20" t="s">
        <v>12</v>
      </c>
      <c r="E20" t="s">
        <v>13</v>
      </c>
      <c r="F20">
        <v>1170.3</v>
      </c>
      <c r="G20">
        <v>14</v>
      </c>
      <c r="H20">
        <v>4.7</v>
      </c>
      <c r="I20" t="b">
        <v>1</v>
      </c>
      <c r="J20">
        <v>29</v>
      </c>
      <c r="K20" t="s">
        <v>14</v>
      </c>
      <c r="L20" t="str" cm="1">
        <f t="array" ref="L20">_xlfn.IFS(
J20&lt;=15,"Active",
J20&lt;=30,"Warm",
J20&gt;30,"Inactive"
)</f>
        <v>Warm</v>
      </c>
      <c r="M20" t="str">
        <f t="shared" si="0"/>
        <v>High Value</v>
      </c>
      <c r="N20" t="str" cm="1">
        <f t="array" ref="N20">_xlfn.IFS(
C20&lt;=28,"25-28",
C20&lt;=32,"29-32",
C20&lt;=36,"33-36",
C20&lt;=40,"37-40",
C20&lt;=45,"41-45"
)</f>
        <v>29-32</v>
      </c>
    </row>
    <row r="21" spans="1:14" x14ac:dyDescent="0.3">
      <c r="A21">
        <v>120</v>
      </c>
      <c r="B21" t="s">
        <v>15</v>
      </c>
      <c r="C21">
        <v>34</v>
      </c>
      <c r="D21" t="s">
        <v>16</v>
      </c>
      <c r="E21" t="s">
        <v>17</v>
      </c>
      <c r="F21">
        <v>790.2</v>
      </c>
      <c r="G21">
        <v>11</v>
      </c>
      <c r="H21">
        <v>4</v>
      </c>
      <c r="I21" t="b">
        <v>0</v>
      </c>
      <c r="J21">
        <v>16</v>
      </c>
      <c r="K21" t="s">
        <v>18</v>
      </c>
      <c r="L21" t="str" cm="1">
        <f t="array" ref="L21">_xlfn.IFS(
J21&lt;=15,"Active",
J21&lt;=30,"Warm",
J21&gt;30,"Inactive"
)</f>
        <v>Warm</v>
      </c>
      <c r="M21" t="str">
        <f t="shared" si="0"/>
        <v>Medium Value</v>
      </c>
      <c r="N21" t="str" cm="1">
        <f t="array" ref="N21">_xlfn.IFS(
C21&lt;=28,"25-28",
C21&lt;=32,"29-32",
C21&lt;=36,"33-36",
C21&lt;=40,"37-40",
C21&lt;=45,"41-45"
)</f>
        <v>33-36</v>
      </c>
    </row>
    <row r="22" spans="1:14" x14ac:dyDescent="0.3">
      <c r="A22">
        <v>121</v>
      </c>
      <c r="B22" t="s">
        <v>11</v>
      </c>
      <c r="C22">
        <v>43</v>
      </c>
      <c r="D22" t="s">
        <v>19</v>
      </c>
      <c r="E22" t="s">
        <v>20</v>
      </c>
      <c r="F22">
        <v>505.75</v>
      </c>
      <c r="G22">
        <v>10</v>
      </c>
      <c r="H22">
        <v>3.3</v>
      </c>
      <c r="I22" t="b">
        <v>1</v>
      </c>
      <c r="J22">
        <v>41</v>
      </c>
      <c r="K22" t="s">
        <v>21</v>
      </c>
      <c r="L22" t="str" cm="1">
        <f t="array" ref="L22">_xlfn.IFS(
J22&lt;=15,"Active",
J22&lt;=30,"Warm",
J22&gt;30,"Inactive"
)</f>
        <v>Inactive</v>
      </c>
      <c r="M22" t="str">
        <f t="shared" si="0"/>
        <v>Medium Value</v>
      </c>
      <c r="N22" t="str" cm="1">
        <f t="array" ref="N22">_xlfn.IFS(
C22&lt;=28,"25-28",
C22&lt;=32,"29-32",
C22&lt;=36,"33-36",
C22&lt;=40,"37-40",
C22&lt;=45,"41-45"
)</f>
        <v>41-45</v>
      </c>
    </row>
    <row r="23" spans="1:14" x14ac:dyDescent="0.3">
      <c r="A23">
        <v>122</v>
      </c>
      <c r="B23" t="s">
        <v>15</v>
      </c>
      <c r="C23">
        <v>30</v>
      </c>
      <c r="D23" t="s">
        <v>22</v>
      </c>
      <c r="E23" t="s">
        <v>13</v>
      </c>
      <c r="F23">
        <v>1470.5</v>
      </c>
      <c r="G23">
        <v>20</v>
      </c>
      <c r="H23">
        <v>4.8</v>
      </c>
      <c r="I23" t="b">
        <v>0</v>
      </c>
      <c r="J23">
        <v>13</v>
      </c>
      <c r="K23" t="s">
        <v>14</v>
      </c>
      <c r="L23" t="str" cm="1">
        <f t="array" ref="L23">_xlfn.IFS(
J23&lt;=15,"Active",
J23&lt;=30,"Warm",
J23&gt;30,"Inactive"
)</f>
        <v>Active</v>
      </c>
      <c r="M23" t="str">
        <f t="shared" si="0"/>
        <v>High Value</v>
      </c>
      <c r="N23" t="str" cm="1">
        <f t="array" ref="N23">_xlfn.IFS(
C23&lt;=28,"25-28",
C23&lt;=32,"29-32",
C23&lt;=36,"33-36",
C23&lt;=40,"37-40",
C23&lt;=45,"41-45"
)</f>
        <v>29-32</v>
      </c>
    </row>
    <row r="24" spans="1:14" x14ac:dyDescent="0.3">
      <c r="A24">
        <v>123</v>
      </c>
      <c r="B24" t="s">
        <v>15</v>
      </c>
      <c r="C24">
        <v>27</v>
      </c>
      <c r="D24" t="s">
        <v>23</v>
      </c>
      <c r="E24" t="s">
        <v>17</v>
      </c>
      <c r="F24">
        <v>710.4</v>
      </c>
      <c r="G24">
        <v>13</v>
      </c>
      <c r="H24">
        <v>4.0999999999999996</v>
      </c>
      <c r="I24" t="b">
        <v>1</v>
      </c>
      <c r="J24">
        <v>54</v>
      </c>
      <c r="K24" t="s">
        <v>21</v>
      </c>
      <c r="L24" t="str" cm="1">
        <f t="array" ref="L24">_xlfn.IFS(
J24&lt;=15,"Active",
J24&lt;=30,"Warm",
J24&gt;30,"Inactive"
)</f>
        <v>Inactive</v>
      </c>
      <c r="M24" t="str">
        <f t="shared" si="0"/>
        <v>Medium Value</v>
      </c>
      <c r="N24" t="str" cm="1">
        <f t="array" ref="N24">_xlfn.IFS(
C24&lt;=28,"25-28",
C24&lt;=32,"29-32",
C24&lt;=36,"33-36",
C24&lt;=40,"37-40",
C24&lt;=45,"41-45"
)</f>
        <v>25-28</v>
      </c>
    </row>
    <row r="25" spans="1:14" x14ac:dyDescent="0.3">
      <c r="A25">
        <v>124</v>
      </c>
      <c r="B25" t="s">
        <v>11</v>
      </c>
      <c r="C25">
        <v>37</v>
      </c>
      <c r="D25" t="s">
        <v>24</v>
      </c>
      <c r="E25" t="s">
        <v>20</v>
      </c>
      <c r="F25">
        <v>430.8</v>
      </c>
      <c r="G25">
        <v>7</v>
      </c>
      <c r="H25">
        <v>3.4</v>
      </c>
      <c r="I25" t="b">
        <v>0</v>
      </c>
      <c r="J25">
        <v>23</v>
      </c>
      <c r="K25" t="s">
        <v>18</v>
      </c>
      <c r="L25" t="str" cm="1">
        <f t="array" ref="L25">_xlfn.IFS(
J25&lt;=15,"Active",
J25&lt;=30,"Warm",
J25&gt;30,"Inactive"
)</f>
        <v>Warm</v>
      </c>
      <c r="M25" t="str">
        <f t="shared" si="0"/>
        <v>Low Value</v>
      </c>
      <c r="N25" t="str" cm="1">
        <f t="array" ref="N25">_xlfn.IFS(
C25&lt;=28,"25-28",
C25&lt;=32,"29-32",
C25&lt;=36,"33-36",
C25&lt;=40,"37-40",
C25&lt;=45,"41-45"
)</f>
        <v>37-40</v>
      </c>
    </row>
    <row r="26" spans="1:14" x14ac:dyDescent="0.3">
      <c r="A26">
        <v>125</v>
      </c>
      <c r="B26" t="s">
        <v>11</v>
      </c>
      <c r="C26">
        <v>31</v>
      </c>
      <c r="D26" t="s">
        <v>12</v>
      </c>
      <c r="E26" t="s">
        <v>13</v>
      </c>
      <c r="F26">
        <v>1140.5999999999999</v>
      </c>
      <c r="G26">
        <v>15</v>
      </c>
      <c r="H26">
        <v>4.5999999999999996</v>
      </c>
      <c r="I26" t="b">
        <v>1</v>
      </c>
      <c r="J26">
        <v>27</v>
      </c>
      <c r="K26" t="s">
        <v>14</v>
      </c>
      <c r="L26" t="str" cm="1">
        <f t="array" ref="L26">_xlfn.IFS(
J26&lt;=15,"Active",
J26&lt;=30,"Warm",
J26&gt;30,"Inactive"
)</f>
        <v>Warm</v>
      </c>
      <c r="M26" t="str">
        <f t="shared" si="0"/>
        <v>High Value</v>
      </c>
      <c r="N26" t="str" cm="1">
        <f t="array" ref="N26">_xlfn.IFS(
C26&lt;=28,"25-28",
C26&lt;=32,"29-32",
C26&lt;=36,"33-36",
C26&lt;=40,"37-40",
C26&lt;=45,"41-45"
)</f>
        <v>29-32</v>
      </c>
    </row>
    <row r="27" spans="1:14" x14ac:dyDescent="0.3">
      <c r="A27">
        <v>126</v>
      </c>
      <c r="B27" t="s">
        <v>15</v>
      </c>
      <c r="C27">
        <v>35</v>
      </c>
      <c r="D27" t="s">
        <v>16</v>
      </c>
      <c r="E27" t="s">
        <v>17</v>
      </c>
      <c r="F27">
        <v>810.9</v>
      </c>
      <c r="G27">
        <v>12</v>
      </c>
      <c r="H27">
        <v>4.3</v>
      </c>
      <c r="I27" t="b">
        <v>0</v>
      </c>
      <c r="J27">
        <v>13</v>
      </c>
      <c r="K27" t="s">
        <v>18</v>
      </c>
      <c r="L27" t="str" cm="1">
        <f t="array" ref="L27">_xlfn.IFS(
J27&lt;=15,"Active",
J27&lt;=30,"Warm",
J27&gt;30,"Inactive"
)</f>
        <v>Active</v>
      </c>
      <c r="M27" t="str">
        <f t="shared" si="0"/>
        <v>Medium Value</v>
      </c>
      <c r="N27" t="str" cm="1">
        <f t="array" ref="N27">_xlfn.IFS(
C27&lt;=28,"25-28",
C27&lt;=32,"29-32",
C27&lt;=36,"33-36",
C27&lt;=40,"37-40",
C27&lt;=45,"41-45"
)</f>
        <v>33-36</v>
      </c>
    </row>
    <row r="28" spans="1:14" x14ac:dyDescent="0.3">
      <c r="A28">
        <v>127</v>
      </c>
      <c r="B28" t="s">
        <v>11</v>
      </c>
      <c r="C28">
        <v>41</v>
      </c>
      <c r="D28" t="s">
        <v>19</v>
      </c>
      <c r="E28" t="s">
        <v>20</v>
      </c>
      <c r="F28">
        <v>485.25</v>
      </c>
      <c r="G28">
        <v>9</v>
      </c>
      <c r="H28">
        <v>3.6</v>
      </c>
      <c r="I28" t="b">
        <v>1</v>
      </c>
      <c r="J28">
        <v>39</v>
      </c>
      <c r="K28" t="s">
        <v>21</v>
      </c>
      <c r="L28" t="str" cm="1">
        <f t="array" ref="L28">_xlfn.IFS(
J28&lt;=15,"Active",
J28&lt;=30,"Warm",
J28&gt;30,"Inactive"
)</f>
        <v>Inactive</v>
      </c>
      <c r="M28" t="str">
        <f t="shared" si="0"/>
        <v>Low Value</v>
      </c>
      <c r="N28" t="str" cm="1">
        <f t="array" ref="N28">_xlfn.IFS(
C28&lt;=28,"25-28",
C28&lt;=32,"29-32",
C28&lt;=36,"33-36",
C28&lt;=40,"37-40",
C28&lt;=45,"41-45"
)</f>
        <v>41-45</v>
      </c>
    </row>
    <row r="29" spans="1:14" x14ac:dyDescent="0.3">
      <c r="A29">
        <v>128</v>
      </c>
      <c r="B29" t="s">
        <v>15</v>
      </c>
      <c r="C29">
        <v>28</v>
      </c>
      <c r="D29" t="s">
        <v>22</v>
      </c>
      <c r="E29" t="s">
        <v>13</v>
      </c>
      <c r="F29">
        <v>1500.1</v>
      </c>
      <c r="G29">
        <v>21</v>
      </c>
      <c r="H29">
        <v>4.9000000000000004</v>
      </c>
      <c r="I29" t="b">
        <v>0</v>
      </c>
      <c r="J29">
        <v>10</v>
      </c>
      <c r="K29" t="s">
        <v>14</v>
      </c>
      <c r="L29" t="str" cm="1">
        <f t="array" ref="L29">_xlfn.IFS(
J29&lt;=15,"Active",
J29&lt;=30,"Warm",
J29&gt;30,"Inactive"
)</f>
        <v>Active</v>
      </c>
      <c r="M29" t="str">
        <f t="shared" si="0"/>
        <v>High Value</v>
      </c>
      <c r="N29" t="str" cm="1">
        <f t="array" ref="N29">_xlfn.IFS(
C29&lt;=28,"25-28",
C29&lt;=32,"29-32",
C29&lt;=36,"33-36",
C29&lt;=40,"37-40",
C29&lt;=45,"41-45"
)</f>
        <v>25-28</v>
      </c>
    </row>
    <row r="30" spans="1:14" x14ac:dyDescent="0.3">
      <c r="A30">
        <v>129</v>
      </c>
      <c r="B30" t="s">
        <v>15</v>
      </c>
      <c r="C30">
        <v>32</v>
      </c>
      <c r="D30" t="s">
        <v>23</v>
      </c>
      <c r="E30" t="s">
        <v>17</v>
      </c>
      <c r="F30">
        <v>670.3</v>
      </c>
      <c r="G30">
        <v>10</v>
      </c>
      <c r="H30">
        <v>3.8</v>
      </c>
      <c r="I30" t="b">
        <v>1</v>
      </c>
      <c r="J30">
        <v>33</v>
      </c>
      <c r="K30" t="s">
        <v>21</v>
      </c>
      <c r="L30" t="str" cm="1">
        <f t="array" ref="L30">_xlfn.IFS(
J30&lt;=15,"Active",
J30&lt;=30,"Warm",
J30&gt;30,"Inactive"
)</f>
        <v>Inactive</v>
      </c>
      <c r="M30" t="str">
        <f t="shared" si="0"/>
        <v>Medium Value</v>
      </c>
      <c r="N30" t="str" cm="1">
        <f t="array" ref="N30">_xlfn.IFS(
C30&lt;=28,"25-28",
C30&lt;=32,"29-32",
C30&lt;=36,"33-36",
C30&lt;=40,"37-40",
C30&lt;=45,"41-45"
)</f>
        <v>29-32</v>
      </c>
    </row>
    <row r="31" spans="1:14" x14ac:dyDescent="0.3">
      <c r="A31">
        <v>130</v>
      </c>
      <c r="B31" t="s">
        <v>11</v>
      </c>
      <c r="C31">
        <v>36</v>
      </c>
      <c r="D31" t="s">
        <v>24</v>
      </c>
      <c r="E31" t="s">
        <v>20</v>
      </c>
      <c r="F31">
        <v>460.5</v>
      </c>
      <c r="G31">
        <v>8</v>
      </c>
      <c r="H31">
        <v>3.1</v>
      </c>
      <c r="I31" t="b">
        <v>0</v>
      </c>
      <c r="J31">
        <v>19</v>
      </c>
      <c r="K31" t="s">
        <v>18</v>
      </c>
      <c r="L31" t="str" cm="1">
        <f t="array" ref="L31">_xlfn.IFS(
J31&lt;=15,"Active",
J31&lt;=30,"Warm",
J31&gt;30,"Inactive"
)</f>
        <v>Warm</v>
      </c>
      <c r="M31" t="str">
        <f t="shared" si="0"/>
        <v>Low Value</v>
      </c>
      <c r="N31" t="str" cm="1">
        <f t="array" ref="N31">_xlfn.IFS(
C31&lt;=28,"25-28",
C31&lt;=32,"29-32",
C31&lt;=36,"33-36",
C31&lt;=40,"37-40",
C31&lt;=45,"41-45"
)</f>
        <v>33-36</v>
      </c>
    </row>
    <row r="32" spans="1:14" x14ac:dyDescent="0.3">
      <c r="A32">
        <v>131</v>
      </c>
      <c r="B32" t="s">
        <v>11</v>
      </c>
      <c r="C32">
        <v>30</v>
      </c>
      <c r="D32" t="s">
        <v>12</v>
      </c>
      <c r="E32" t="s">
        <v>13</v>
      </c>
      <c r="F32">
        <v>1190.8</v>
      </c>
      <c r="G32">
        <v>16</v>
      </c>
      <c r="H32">
        <v>4.5</v>
      </c>
      <c r="I32" t="b">
        <v>1</v>
      </c>
      <c r="J32">
        <v>20</v>
      </c>
      <c r="K32" t="s">
        <v>14</v>
      </c>
      <c r="L32" t="str" cm="1">
        <f t="array" ref="L32">_xlfn.IFS(
J32&lt;=15,"Active",
J32&lt;=30,"Warm",
J32&gt;30,"Inactive"
)</f>
        <v>Warm</v>
      </c>
      <c r="M32" t="str">
        <f t="shared" si="0"/>
        <v>High Value</v>
      </c>
      <c r="N32" t="str" cm="1">
        <f t="array" ref="N32">_xlfn.IFS(
C32&lt;=28,"25-28",
C32&lt;=32,"29-32",
C32&lt;=36,"33-36",
C32&lt;=40,"37-40",
C32&lt;=45,"41-45"
)</f>
        <v>29-32</v>
      </c>
    </row>
    <row r="33" spans="1:14" x14ac:dyDescent="0.3">
      <c r="A33">
        <v>132</v>
      </c>
      <c r="B33" t="s">
        <v>15</v>
      </c>
      <c r="C33">
        <v>33</v>
      </c>
      <c r="D33" t="s">
        <v>16</v>
      </c>
      <c r="E33" t="s">
        <v>17</v>
      </c>
      <c r="F33">
        <v>830.75</v>
      </c>
      <c r="G33">
        <v>13</v>
      </c>
      <c r="H33">
        <v>4.2</v>
      </c>
      <c r="I33" t="b">
        <v>0</v>
      </c>
      <c r="J33">
        <v>14</v>
      </c>
      <c r="K33" t="s">
        <v>14</v>
      </c>
      <c r="L33" t="str" cm="1">
        <f t="array" ref="L33">_xlfn.IFS(
J33&lt;=15,"Active",
J33&lt;=30,"Warm",
J33&gt;30,"Inactive"
)</f>
        <v>Active</v>
      </c>
      <c r="M33" t="str">
        <f t="shared" si="0"/>
        <v>Medium Value</v>
      </c>
      <c r="N33" t="str" cm="1">
        <f t="array" ref="N33">_xlfn.IFS(
C33&lt;=28,"25-28",
C33&lt;=32,"29-32",
C33&lt;=36,"33-36",
C33&lt;=40,"37-40",
C33&lt;=45,"41-45"
)</f>
        <v>33-36</v>
      </c>
    </row>
    <row r="34" spans="1:14" x14ac:dyDescent="0.3">
      <c r="A34">
        <v>133</v>
      </c>
      <c r="B34" t="s">
        <v>11</v>
      </c>
      <c r="C34">
        <v>42</v>
      </c>
      <c r="D34" t="s">
        <v>19</v>
      </c>
      <c r="E34" t="s">
        <v>20</v>
      </c>
      <c r="F34">
        <v>520.4</v>
      </c>
      <c r="G34">
        <v>9</v>
      </c>
      <c r="H34">
        <v>3.5</v>
      </c>
      <c r="I34" t="b">
        <v>1</v>
      </c>
      <c r="J34">
        <v>37</v>
      </c>
      <c r="K34" t="s">
        <v>21</v>
      </c>
      <c r="L34" t="str" cm="1">
        <f t="array" ref="L34">_xlfn.IFS(
J34&lt;=15,"Active",
J34&lt;=30,"Warm",
J34&gt;30,"Inactive"
)</f>
        <v>Inactive</v>
      </c>
      <c r="M34" t="str">
        <f t="shared" si="0"/>
        <v>Medium Value</v>
      </c>
      <c r="N34" t="str" cm="1">
        <f t="array" ref="N34">_xlfn.IFS(
C34&lt;=28,"25-28",
C34&lt;=32,"29-32",
C34&lt;=36,"33-36",
C34&lt;=40,"37-40",
C34&lt;=45,"41-45"
)</f>
        <v>41-45</v>
      </c>
    </row>
    <row r="35" spans="1:14" x14ac:dyDescent="0.3">
      <c r="A35">
        <v>134</v>
      </c>
      <c r="B35" t="s">
        <v>15</v>
      </c>
      <c r="C35">
        <v>29</v>
      </c>
      <c r="D35" t="s">
        <v>22</v>
      </c>
      <c r="E35" t="s">
        <v>13</v>
      </c>
      <c r="F35">
        <v>1370.2</v>
      </c>
      <c r="G35">
        <v>18</v>
      </c>
      <c r="H35">
        <v>4.7</v>
      </c>
      <c r="I35" t="b">
        <v>0</v>
      </c>
      <c r="J35">
        <v>10</v>
      </c>
      <c r="K35" t="s">
        <v>14</v>
      </c>
      <c r="L35" t="str" cm="1">
        <f t="array" ref="L35">_xlfn.IFS(
J35&lt;=15,"Active",
J35&lt;=30,"Warm",
J35&gt;30,"Inactive"
)</f>
        <v>Active</v>
      </c>
      <c r="M35" t="str">
        <f t="shared" si="0"/>
        <v>High Value</v>
      </c>
      <c r="N35" t="str" cm="1">
        <f t="array" ref="N35">_xlfn.IFS(
C35&lt;=28,"25-28",
C35&lt;=32,"29-32",
C35&lt;=36,"33-36",
C35&lt;=40,"37-40",
C35&lt;=45,"41-45"
)</f>
        <v>29-32</v>
      </c>
    </row>
    <row r="36" spans="1:14" x14ac:dyDescent="0.3">
      <c r="A36">
        <v>135</v>
      </c>
      <c r="B36" t="s">
        <v>15</v>
      </c>
      <c r="C36">
        <v>26</v>
      </c>
      <c r="D36" t="s">
        <v>23</v>
      </c>
      <c r="E36" t="s">
        <v>17</v>
      </c>
      <c r="F36">
        <v>690.6</v>
      </c>
      <c r="G36">
        <v>12</v>
      </c>
      <c r="H36">
        <v>3.9</v>
      </c>
      <c r="I36" t="b">
        <v>1</v>
      </c>
      <c r="J36">
        <v>47</v>
      </c>
      <c r="K36" t="s">
        <v>21</v>
      </c>
      <c r="L36" t="str" cm="1">
        <f t="array" ref="L36">_xlfn.IFS(
J36&lt;=15,"Active",
J36&lt;=30,"Warm",
J36&gt;30,"Inactive"
)</f>
        <v>Inactive</v>
      </c>
      <c r="M36" t="str">
        <f t="shared" si="0"/>
        <v>Medium Value</v>
      </c>
      <c r="N36" t="str" cm="1">
        <f t="array" ref="N36">_xlfn.IFS(
C36&lt;=28,"25-28",
C36&lt;=32,"29-32",
C36&lt;=36,"33-36",
C36&lt;=40,"37-40",
C36&lt;=45,"41-45"
)</f>
        <v>25-28</v>
      </c>
    </row>
    <row r="37" spans="1:14" x14ac:dyDescent="0.3">
      <c r="A37">
        <v>136</v>
      </c>
      <c r="B37" t="s">
        <v>11</v>
      </c>
      <c r="C37">
        <v>38</v>
      </c>
      <c r="D37" t="s">
        <v>24</v>
      </c>
      <c r="E37" t="s">
        <v>20</v>
      </c>
      <c r="F37">
        <v>440.9</v>
      </c>
      <c r="G37">
        <v>8</v>
      </c>
      <c r="H37">
        <v>3.2</v>
      </c>
      <c r="I37" t="b">
        <v>0</v>
      </c>
      <c r="J37">
        <v>24</v>
      </c>
      <c r="K37" t="s">
        <v>18</v>
      </c>
      <c r="L37" t="str" cm="1">
        <f t="array" ref="L37">_xlfn.IFS(
J37&lt;=15,"Active",
J37&lt;=30,"Warm",
J37&gt;30,"Inactive"
)</f>
        <v>Warm</v>
      </c>
      <c r="M37" t="str">
        <f t="shared" si="0"/>
        <v>Low Value</v>
      </c>
      <c r="N37" t="str" cm="1">
        <f t="array" ref="N37">_xlfn.IFS(
C37&lt;=28,"25-28",
C37&lt;=32,"29-32",
C37&lt;=36,"33-36",
C37&lt;=40,"37-40",
C37&lt;=45,"41-45"
)</f>
        <v>37-40</v>
      </c>
    </row>
    <row r="38" spans="1:14" x14ac:dyDescent="0.3">
      <c r="A38">
        <v>137</v>
      </c>
      <c r="B38" t="s">
        <v>11</v>
      </c>
      <c r="C38">
        <v>32</v>
      </c>
      <c r="D38" t="s">
        <v>12</v>
      </c>
      <c r="E38" t="s">
        <v>13</v>
      </c>
      <c r="F38">
        <v>1160.3</v>
      </c>
      <c r="G38">
        <v>14</v>
      </c>
      <c r="H38">
        <v>4.4000000000000004</v>
      </c>
      <c r="I38" t="b">
        <v>1</v>
      </c>
      <c r="J38">
        <v>22</v>
      </c>
      <c r="K38" t="s">
        <v>14</v>
      </c>
      <c r="L38" t="str" cm="1">
        <f t="array" ref="L38">_xlfn.IFS(
J38&lt;=15,"Active",
J38&lt;=30,"Warm",
J38&gt;30,"Inactive"
)</f>
        <v>Warm</v>
      </c>
      <c r="M38" t="str">
        <f t="shared" si="0"/>
        <v>High Value</v>
      </c>
      <c r="N38" t="str" cm="1">
        <f t="array" ref="N38">_xlfn.IFS(
C38&lt;=28,"25-28",
C38&lt;=32,"29-32",
C38&lt;=36,"33-36",
C38&lt;=40,"37-40",
C38&lt;=45,"41-45"
)</f>
        <v>29-32</v>
      </c>
    </row>
    <row r="39" spans="1:14" x14ac:dyDescent="0.3">
      <c r="A39">
        <v>138</v>
      </c>
      <c r="B39" t="s">
        <v>15</v>
      </c>
      <c r="C39">
        <v>34</v>
      </c>
      <c r="D39" t="s">
        <v>16</v>
      </c>
      <c r="E39" t="s">
        <v>17</v>
      </c>
      <c r="F39">
        <v>800.2</v>
      </c>
      <c r="G39">
        <v>11</v>
      </c>
      <c r="H39">
        <v>4.0999999999999996</v>
      </c>
      <c r="I39" t="b">
        <v>0</v>
      </c>
      <c r="J39">
        <v>17</v>
      </c>
      <c r="K39" t="s">
        <v>18</v>
      </c>
      <c r="L39" t="str" cm="1">
        <f t="array" ref="L39">_xlfn.IFS(
J39&lt;=15,"Active",
J39&lt;=30,"Warm",
J39&gt;30,"Inactive"
)</f>
        <v>Warm</v>
      </c>
      <c r="M39" t="str">
        <f t="shared" si="0"/>
        <v>Medium Value</v>
      </c>
      <c r="N39" t="str" cm="1">
        <f t="array" ref="N39">_xlfn.IFS(
C39&lt;=28,"25-28",
C39&lt;=32,"29-32",
C39&lt;=36,"33-36",
C39&lt;=40,"37-40",
C39&lt;=45,"41-45"
)</f>
        <v>33-36</v>
      </c>
    </row>
    <row r="40" spans="1:14" x14ac:dyDescent="0.3">
      <c r="A40">
        <v>139</v>
      </c>
      <c r="B40" t="s">
        <v>11</v>
      </c>
      <c r="C40">
        <v>43</v>
      </c>
      <c r="D40" t="s">
        <v>19</v>
      </c>
      <c r="E40" t="s">
        <v>20</v>
      </c>
      <c r="F40">
        <v>500.75</v>
      </c>
      <c r="G40">
        <v>10</v>
      </c>
      <c r="H40">
        <v>3.3</v>
      </c>
      <c r="I40" t="b">
        <v>1</v>
      </c>
      <c r="J40">
        <v>40</v>
      </c>
      <c r="K40" t="s">
        <v>21</v>
      </c>
      <c r="L40" t="str" cm="1">
        <f t="array" ref="L40">_xlfn.IFS(
J40&lt;=15,"Active",
J40&lt;=30,"Warm",
J40&gt;30,"Inactive"
)</f>
        <v>Inactive</v>
      </c>
      <c r="M40" t="str">
        <f t="shared" si="0"/>
        <v>Medium Value</v>
      </c>
      <c r="N40" t="str" cm="1">
        <f t="array" ref="N40">_xlfn.IFS(
C40&lt;=28,"25-28",
C40&lt;=32,"29-32",
C40&lt;=36,"33-36",
C40&lt;=40,"37-40",
C40&lt;=45,"41-45"
)</f>
        <v>41-45</v>
      </c>
    </row>
    <row r="41" spans="1:14" x14ac:dyDescent="0.3">
      <c r="A41">
        <v>140</v>
      </c>
      <c r="B41" t="s">
        <v>15</v>
      </c>
      <c r="C41">
        <v>30</v>
      </c>
      <c r="D41" t="s">
        <v>22</v>
      </c>
      <c r="E41" t="s">
        <v>13</v>
      </c>
      <c r="F41">
        <v>1460.5</v>
      </c>
      <c r="G41">
        <v>20</v>
      </c>
      <c r="H41">
        <v>4.8</v>
      </c>
      <c r="I41" t="b">
        <v>0</v>
      </c>
      <c r="J41">
        <v>12</v>
      </c>
      <c r="K41" t="s">
        <v>14</v>
      </c>
      <c r="L41" t="str" cm="1">
        <f t="array" ref="L41">_xlfn.IFS(
J41&lt;=15,"Active",
J41&lt;=30,"Warm",
J41&gt;30,"Inactive"
)</f>
        <v>Active</v>
      </c>
      <c r="M41" t="str">
        <f t="shared" si="0"/>
        <v>High Value</v>
      </c>
      <c r="N41" t="str" cm="1">
        <f t="array" ref="N41">_xlfn.IFS(
C41&lt;=28,"25-28",
C41&lt;=32,"29-32",
C41&lt;=36,"33-36",
C41&lt;=40,"37-40",
C41&lt;=45,"41-45"
)</f>
        <v>29-32</v>
      </c>
    </row>
    <row r="42" spans="1:14" x14ac:dyDescent="0.3">
      <c r="A42">
        <v>141</v>
      </c>
      <c r="B42" t="s">
        <v>15</v>
      </c>
      <c r="C42">
        <v>27</v>
      </c>
      <c r="D42" t="s">
        <v>23</v>
      </c>
      <c r="E42" t="s">
        <v>17</v>
      </c>
      <c r="F42">
        <v>700.4</v>
      </c>
      <c r="G42">
        <v>13</v>
      </c>
      <c r="H42">
        <v>4</v>
      </c>
      <c r="I42" t="b">
        <v>1</v>
      </c>
      <c r="J42">
        <v>53</v>
      </c>
      <c r="K42" t="s">
        <v>21</v>
      </c>
      <c r="L42" t="str" cm="1">
        <f t="array" ref="L42">_xlfn.IFS(
J42&lt;=15,"Active",
J42&lt;=30,"Warm",
J42&gt;30,"Inactive"
)</f>
        <v>Inactive</v>
      </c>
      <c r="M42" t="str">
        <f t="shared" si="0"/>
        <v>Medium Value</v>
      </c>
      <c r="N42" t="str" cm="1">
        <f t="array" ref="N42">_xlfn.IFS(
C42&lt;=28,"25-28",
C42&lt;=32,"29-32",
C42&lt;=36,"33-36",
C42&lt;=40,"37-40",
C42&lt;=45,"41-45"
)</f>
        <v>25-28</v>
      </c>
    </row>
    <row r="43" spans="1:14" x14ac:dyDescent="0.3">
      <c r="A43">
        <v>142</v>
      </c>
      <c r="B43" t="s">
        <v>11</v>
      </c>
      <c r="C43">
        <v>37</v>
      </c>
      <c r="D43" t="s">
        <v>24</v>
      </c>
      <c r="E43" t="s">
        <v>20</v>
      </c>
      <c r="F43">
        <v>420.8</v>
      </c>
      <c r="G43">
        <v>7</v>
      </c>
      <c r="H43">
        <v>3.1</v>
      </c>
      <c r="I43" t="b">
        <v>0</v>
      </c>
      <c r="J43">
        <v>21</v>
      </c>
      <c r="K43" t="s">
        <v>18</v>
      </c>
      <c r="L43" t="str" cm="1">
        <f t="array" ref="L43">_xlfn.IFS(
J43&lt;=15,"Active",
J43&lt;=30,"Warm",
J43&gt;30,"Inactive"
)</f>
        <v>Warm</v>
      </c>
      <c r="M43" t="str">
        <f t="shared" si="0"/>
        <v>Low Value</v>
      </c>
      <c r="N43" t="str" cm="1">
        <f t="array" ref="N43">_xlfn.IFS(
C43&lt;=28,"25-28",
C43&lt;=32,"29-32",
C43&lt;=36,"33-36",
C43&lt;=40,"37-40",
C43&lt;=45,"41-45"
)</f>
        <v>37-40</v>
      </c>
    </row>
    <row r="44" spans="1:14" x14ac:dyDescent="0.3">
      <c r="A44">
        <v>143</v>
      </c>
      <c r="B44" t="s">
        <v>11</v>
      </c>
      <c r="C44">
        <v>31</v>
      </c>
      <c r="D44" t="s">
        <v>12</v>
      </c>
      <c r="E44" t="s">
        <v>13</v>
      </c>
      <c r="F44">
        <v>1130.5999999999999</v>
      </c>
      <c r="G44">
        <v>15</v>
      </c>
      <c r="H44">
        <v>4.5</v>
      </c>
      <c r="I44" t="b">
        <v>1</v>
      </c>
      <c r="J44">
        <v>26</v>
      </c>
      <c r="K44" t="s">
        <v>14</v>
      </c>
      <c r="L44" t="str" cm="1">
        <f t="array" ref="L44">_xlfn.IFS(
J44&lt;=15,"Active",
J44&lt;=30,"Warm",
J44&gt;30,"Inactive"
)</f>
        <v>Warm</v>
      </c>
      <c r="M44" t="str">
        <f t="shared" si="0"/>
        <v>High Value</v>
      </c>
      <c r="N44" t="str" cm="1">
        <f t="array" ref="N44">_xlfn.IFS(
C44&lt;=28,"25-28",
C44&lt;=32,"29-32",
C44&lt;=36,"33-36",
C44&lt;=40,"37-40",
C44&lt;=45,"41-45"
)</f>
        <v>29-32</v>
      </c>
    </row>
    <row r="45" spans="1:14" x14ac:dyDescent="0.3">
      <c r="A45">
        <v>144</v>
      </c>
      <c r="B45" t="s">
        <v>15</v>
      </c>
      <c r="C45">
        <v>35</v>
      </c>
      <c r="D45" t="s">
        <v>16</v>
      </c>
      <c r="E45" t="s">
        <v>17</v>
      </c>
      <c r="F45">
        <v>820.9</v>
      </c>
      <c r="G45">
        <v>12</v>
      </c>
      <c r="H45">
        <v>4.3</v>
      </c>
      <c r="I45" t="b">
        <v>0</v>
      </c>
      <c r="J45">
        <v>12</v>
      </c>
      <c r="K45" t="s">
        <v>18</v>
      </c>
      <c r="L45" t="str" cm="1">
        <f t="array" ref="L45">_xlfn.IFS(
J45&lt;=15,"Active",
J45&lt;=30,"Warm",
J45&gt;30,"Inactive"
)</f>
        <v>Active</v>
      </c>
      <c r="M45" t="str">
        <f t="shared" si="0"/>
        <v>Medium Value</v>
      </c>
      <c r="N45" t="str" cm="1">
        <f t="array" ref="N45">_xlfn.IFS(
C45&lt;=28,"25-28",
C45&lt;=32,"29-32",
C45&lt;=36,"33-36",
C45&lt;=40,"37-40",
C45&lt;=45,"41-45"
)</f>
        <v>33-36</v>
      </c>
    </row>
    <row r="46" spans="1:14" x14ac:dyDescent="0.3">
      <c r="A46">
        <v>145</v>
      </c>
      <c r="B46" t="s">
        <v>11</v>
      </c>
      <c r="C46">
        <v>41</v>
      </c>
      <c r="D46" t="s">
        <v>19</v>
      </c>
      <c r="E46" t="s">
        <v>20</v>
      </c>
      <c r="F46">
        <v>480.25</v>
      </c>
      <c r="G46">
        <v>9</v>
      </c>
      <c r="H46">
        <v>3.6</v>
      </c>
      <c r="I46" t="b">
        <v>1</v>
      </c>
      <c r="J46">
        <v>38</v>
      </c>
      <c r="K46" t="s">
        <v>21</v>
      </c>
      <c r="L46" t="str" cm="1">
        <f t="array" ref="L46">_xlfn.IFS(
J46&lt;=15,"Active",
J46&lt;=30,"Warm",
J46&gt;30,"Inactive"
)</f>
        <v>Inactive</v>
      </c>
      <c r="M46" t="str">
        <f t="shared" si="0"/>
        <v>Low Value</v>
      </c>
      <c r="N46" t="str" cm="1">
        <f t="array" ref="N46">_xlfn.IFS(
C46&lt;=28,"25-28",
C46&lt;=32,"29-32",
C46&lt;=36,"33-36",
C46&lt;=40,"37-40",
C46&lt;=45,"41-45"
)</f>
        <v>41-45</v>
      </c>
    </row>
    <row r="47" spans="1:14" x14ac:dyDescent="0.3">
      <c r="A47">
        <v>146</v>
      </c>
      <c r="B47" t="s">
        <v>15</v>
      </c>
      <c r="C47">
        <v>28</v>
      </c>
      <c r="D47" t="s">
        <v>22</v>
      </c>
      <c r="E47" t="s">
        <v>13</v>
      </c>
      <c r="F47">
        <v>1490.1</v>
      </c>
      <c r="G47">
        <v>21</v>
      </c>
      <c r="H47">
        <v>4.9000000000000004</v>
      </c>
      <c r="I47" t="b">
        <v>0</v>
      </c>
      <c r="J47">
        <v>9</v>
      </c>
      <c r="K47" t="s">
        <v>14</v>
      </c>
      <c r="L47" t="str" cm="1">
        <f t="array" ref="L47">_xlfn.IFS(
J47&lt;=15,"Active",
J47&lt;=30,"Warm",
J47&gt;30,"Inactive"
)</f>
        <v>Active</v>
      </c>
      <c r="M47" t="str">
        <f t="shared" si="0"/>
        <v>High Value</v>
      </c>
      <c r="N47" t="str" cm="1">
        <f t="array" ref="N47">_xlfn.IFS(
C47&lt;=28,"25-28",
C47&lt;=32,"29-32",
C47&lt;=36,"33-36",
C47&lt;=40,"37-40",
C47&lt;=45,"41-45"
)</f>
        <v>25-28</v>
      </c>
    </row>
    <row r="48" spans="1:14" x14ac:dyDescent="0.3">
      <c r="A48">
        <v>147</v>
      </c>
      <c r="B48" t="s">
        <v>15</v>
      </c>
      <c r="C48">
        <v>32</v>
      </c>
      <c r="D48" t="s">
        <v>23</v>
      </c>
      <c r="E48" t="s">
        <v>17</v>
      </c>
      <c r="F48">
        <v>680.3</v>
      </c>
      <c r="G48">
        <v>10</v>
      </c>
      <c r="H48">
        <v>3.8</v>
      </c>
      <c r="I48" t="b">
        <v>1</v>
      </c>
      <c r="J48">
        <v>32</v>
      </c>
      <c r="K48" t="s">
        <v>21</v>
      </c>
      <c r="L48" t="str" cm="1">
        <f t="array" ref="L48">_xlfn.IFS(
J48&lt;=15,"Active",
J48&lt;=30,"Warm",
J48&gt;30,"Inactive"
)</f>
        <v>Inactive</v>
      </c>
      <c r="M48" t="str">
        <f t="shared" si="0"/>
        <v>Medium Value</v>
      </c>
      <c r="N48" t="str" cm="1">
        <f t="array" ref="N48">_xlfn.IFS(
C48&lt;=28,"25-28",
C48&lt;=32,"29-32",
C48&lt;=36,"33-36",
C48&lt;=40,"37-40",
C48&lt;=45,"41-45"
)</f>
        <v>29-32</v>
      </c>
    </row>
    <row r="49" spans="1:14" x14ac:dyDescent="0.3">
      <c r="A49">
        <v>148</v>
      </c>
      <c r="B49" t="s">
        <v>11</v>
      </c>
      <c r="C49">
        <v>36</v>
      </c>
      <c r="D49" t="s">
        <v>24</v>
      </c>
      <c r="E49" t="s">
        <v>20</v>
      </c>
      <c r="F49">
        <v>470.5</v>
      </c>
      <c r="G49">
        <v>8</v>
      </c>
      <c r="H49">
        <v>3</v>
      </c>
      <c r="I49" t="b">
        <v>0</v>
      </c>
      <c r="J49">
        <v>18</v>
      </c>
      <c r="K49" t="s">
        <v>18</v>
      </c>
      <c r="L49" t="str" cm="1">
        <f t="array" ref="L49">_xlfn.IFS(
J49&lt;=15,"Active",
J49&lt;=30,"Warm",
J49&gt;30,"Inactive"
)</f>
        <v>Warm</v>
      </c>
      <c r="M49" t="str">
        <f t="shared" si="0"/>
        <v>Low Value</v>
      </c>
      <c r="N49" t="str" cm="1">
        <f t="array" ref="N49">_xlfn.IFS(
C49&lt;=28,"25-28",
C49&lt;=32,"29-32",
C49&lt;=36,"33-36",
C49&lt;=40,"37-40",
C49&lt;=45,"41-45"
)</f>
        <v>33-36</v>
      </c>
    </row>
    <row r="50" spans="1:14" x14ac:dyDescent="0.3">
      <c r="A50">
        <v>149</v>
      </c>
      <c r="B50" t="s">
        <v>11</v>
      </c>
      <c r="C50">
        <v>30</v>
      </c>
      <c r="D50" t="s">
        <v>12</v>
      </c>
      <c r="E50" t="s">
        <v>13</v>
      </c>
      <c r="F50">
        <v>1180.8</v>
      </c>
      <c r="G50">
        <v>16</v>
      </c>
      <c r="H50">
        <v>4.7</v>
      </c>
      <c r="I50" t="b">
        <v>1</v>
      </c>
      <c r="J50">
        <v>19</v>
      </c>
      <c r="K50" t="s">
        <v>14</v>
      </c>
      <c r="L50" t="str" cm="1">
        <f t="array" ref="L50">_xlfn.IFS(
J50&lt;=15,"Active",
J50&lt;=30,"Warm",
J50&gt;30,"Inactive"
)</f>
        <v>Warm</v>
      </c>
      <c r="M50" t="str">
        <f t="shared" si="0"/>
        <v>High Value</v>
      </c>
      <c r="N50" t="str" cm="1">
        <f t="array" ref="N50">_xlfn.IFS(
C50&lt;=28,"25-28",
C50&lt;=32,"29-32",
C50&lt;=36,"33-36",
C50&lt;=40,"37-40",
C50&lt;=45,"41-45"
)</f>
        <v>29-32</v>
      </c>
    </row>
    <row r="51" spans="1:14" x14ac:dyDescent="0.3">
      <c r="A51">
        <v>150</v>
      </c>
      <c r="B51" t="s">
        <v>15</v>
      </c>
      <c r="C51">
        <v>34</v>
      </c>
      <c r="D51" t="s">
        <v>16</v>
      </c>
      <c r="E51" t="s">
        <v>17</v>
      </c>
      <c r="F51">
        <v>790.2</v>
      </c>
      <c r="G51">
        <v>11</v>
      </c>
      <c r="H51">
        <v>4</v>
      </c>
      <c r="I51" t="b">
        <v>0</v>
      </c>
      <c r="J51">
        <v>15</v>
      </c>
      <c r="K51" t="s">
        <v>18</v>
      </c>
      <c r="L51" t="str" cm="1">
        <f t="array" ref="L51">_xlfn.IFS(
J51&lt;=15,"Active",
J51&lt;=30,"Warm",
J51&gt;30,"Inactive"
)</f>
        <v>Active</v>
      </c>
      <c r="M51" t="str">
        <f t="shared" si="0"/>
        <v>Medium Value</v>
      </c>
      <c r="N51" t="str" cm="1">
        <f t="array" ref="N51">_xlfn.IFS(
C51&lt;=28,"25-28",
C51&lt;=32,"29-32",
C51&lt;=36,"33-36",
C51&lt;=40,"37-40",
C51&lt;=45,"41-45"
)</f>
        <v>33-36</v>
      </c>
    </row>
    <row r="52" spans="1:14" x14ac:dyDescent="0.3">
      <c r="A52">
        <v>151</v>
      </c>
      <c r="B52" t="s">
        <v>11</v>
      </c>
      <c r="C52">
        <v>43</v>
      </c>
      <c r="D52" t="s">
        <v>19</v>
      </c>
      <c r="E52" t="s">
        <v>20</v>
      </c>
      <c r="F52">
        <v>505.75</v>
      </c>
      <c r="G52">
        <v>10</v>
      </c>
      <c r="H52">
        <v>3.3</v>
      </c>
      <c r="I52" t="b">
        <v>1</v>
      </c>
      <c r="J52">
        <v>39</v>
      </c>
      <c r="K52" t="s">
        <v>21</v>
      </c>
      <c r="L52" t="str" cm="1">
        <f t="array" ref="L52">_xlfn.IFS(
J52&lt;=15,"Active",
J52&lt;=30,"Warm",
J52&gt;30,"Inactive"
)</f>
        <v>Inactive</v>
      </c>
      <c r="M52" t="str">
        <f t="shared" si="0"/>
        <v>Medium Value</v>
      </c>
      <c r="N52" t="str" cm="1">
        <f t="array" ref="N52">_xlfn.IFS(
C52&lt;=28,"25-28",
C52&lt;=32,"29-32",
C52&lt;=36,"33-36",
C52&lt;=40,"37-40",
C52&lt;=45,"41-45"
)</f>
        <v>41-45</v>
      </c>
    </row>
    <row r="53" spans="1:14" x14ac:dyDescent="0.3">
      <c r="A53">
        <v>152</v>
      </c>
      <c r="B53" t="s">
        <v>15</v>
      </c>
      <c r="C53">
        <v>30</v>
      </c>
      <c r="D53" t="s">
        <v>22</v>
      </c>
      <c r="E53" t="s">
        <v>13</v>
      </c>
      <c r="F53">
        <v>1470.5</v>
      </c>
      <c r="G53">
        <v>20</v>
      </c>
      <c r="H53">
        <v>4.8</v>
      </c>
      <c r="I53" t="b">
        <v>0</v>
      </c>
      <c r="J53">
        <v>13</v>
      </c>
      <c r="K53" t="s">
        <v>14</v>
      </c>
      <c r="L53" t="str" cm="1">
        <f t="array" ref="L53">_xlfn.IFS(
J53&lt;=15,"Active",
J53&lt;=30,"Warm",
J53&gt;30,"Inactive"
)</f>
        <v>Active</v>
      </c>
      <c r="M53" t="str">
        <f t="shared" si="0"/>
        <v>High Value</v>
      </c>
      <c r="N53" t="str" cm="1">
        <f t="array" ref="N53">_xlfn.IFS(
C53&lt;=28,"25-28",
C53&lt;=32,"29-32",
C53&lt;=36,"33-36",
C53&lt;=40,"37-40",
C53&lt;=45,"41-45"
)</f>
        <v>29-32</v>
      </c>
    </row>
    <row r="54" spans="1:14" x14ac:dyDescent="0.3">
      <c r="A54">
        <v>153</v>
      </c>
      <c r="B54" t="s">
        <v>15</v>
      </c>
      <c r="C54">
        <v>27</v>
      </c>
      <c r="D54" t="s">
        <v>23</v>
      </c>
      <c r="E54" t="s">
        <v>17</v>
      </c>
      <c r="F54">
        <v>710.4</v>
      </c>
      <c r="G54">
        <v>13</v>
      </c>
      <c r="H54">
        <v>4.0999999999999996</v>
      </c>
      <c r="I54" t="b">
        <v>1</v>
      </c>
      <c r="J54">
        <v>54</v>
      </c>
      <c r="K54" t="s">
        <v>21</v>
      </c>
      <c r="L54" t="str" cm="1">
        <f t="array" ref="L54">_xlfn.IFS(
J54&lt;=15,"Active",
J54&lt;=30,"Warm",
J54&gt;30,"Inactive"
)</f>
        <v>Inactive</v>
      </c>
      <c r="M54" t="str">
        <f t="shared" si="0"/>
        <v>Medium Value</v>
      </c>
      <c r="N54" t="str" cm="1">
        <f t="array" ref="N54">_xlfn.IFS(
C54&lt;=28,"25-28",
C54&lt;=32,"29-32",
C54&lt;=36,"33-36",
C54&lt;=40,"37-40",
C54&lt;=45,"41-45"
)</f>
        <v>25-28</v>
      </c>
    </row>
    <row r="55" spans="1:14" x14ac:dyDescent="0.3">
      <c r="A55">
        <v>154</v>
      </c>
      <c r="B55" t="s">
        <v>11</v>
      </c>
      <c r="C55">
        <v>37</v>
      </c>
      <c r="D55" t="s">
        <v>24</v>
      </c>
      <c r="E55" t="s">
        <v>20</v>
      </c>
      <c r="F55">
        <v>430.8</v>
      </c>
      <c r="G55">
        <v>7</v>
      </c>
      <c r="H55">
        <v>3.4</v>
      </c>
      <c r="I55" t="b">
        <v>0</v>
      </c>
      <c r="J55">
        <v>23</v>
      </c>
      <c r="K55" t="s">
        <v>18</v>
      </c>
      <c r="L55" t="str" cm="1">
        <f t="array" ref="L55">_xlfn.IFS(
J55&lt;=15,"Active",
J55&lt;=30,"Warm",
J55&gt;30,"Inactive"
)</f>
        <v>Warm</v>
      </c>
      <c r="M55" t="str">
        <f t="shared" si="0"/>
        <v>Low Value</v>
      </c>
      <c r="N55" t="str" cm="1">
        <f t="array" ref="N55">_xlfn.IFS(
C55&lt;=28,"25-28",
C55&lt;=32,"29-32",
C55&lt;=36,"33-36",
C55&lt;=40,"37-40",
C55&lt;=45,"41-45"
)</f>
        <v>37-40</v>
      </c>
    </row>
    <row r="56" spans="1:14" x14ac:dyDescent="0.3">
      <c r="A56">
        <v>155</v>
      </c>
      <c r="B56" t="s">
        <v>11</v>
      </c>
      <c r="C56">
        <v>31</v>
      </c>
      <c r="D56" t="s">
        <v>12</v>
      </c>
      <c r="E56" t="s">
        <v>13</v>
      </c>
      <c r="F56">
        <v>1140.5999999999999</v>
      </c>
      <c r="G56">
        <v>15</v>
      </c>
      <c r="H56">
        <v>4.5999999999999996</v>
      </c>
      <c r="I56" t="b">
        <v>1</v>
      </c>
      <c r="J56">
        <v>27</v>
      </c>
      <c r="K56" t="s">
        <v>14</v>
      </c>
      <c r="L56" t="str" cm="1">
        <f t="array" ref="L56">_xlfn.IFS(
J56&lt;=15,"Active",
J56&lt;=30,"Warm",
J56&gt;30,"Inactive"
)</f>
        <v>Warm</v>
      </c>
      <c r="M56" t="str">
        <f t="shared" si="0"/>
        <v>High Value</v>
      </c>
      <c r="N56" t="str" cm="1">
        <f t="array" ref="N56">_xlfn.IFS(
C56&lt;=28,"25-28",
C56&lt;=32,"29-32",
C56&lt;=36,"33-36",
C56&lt;=40,"37-40",
C56&lt;=45,"41-45"
)</f>
        <v>29-32</v>
      </c>
    </row>
    <row r="57" spans="1:14" x14ac:dyDescent="0.3">
      <c r="A57">
        <v>156</v>
      </c>
      <c r="B57" t="s">
        <v>15</v>
      </c>
      <c r="C57">
        <v>35</v>
      </c>
      <c r="D57" t="s">
        <v>16</v>
      </c>
      <c r="E57" t="s">
        <v>17</v>
      </c>
      <c r="F57">
        <v>810.9</v>
      </c>
      <c r="G57">
        <v>12</v>
      </c>
      <c r="H57">
        <v>4.3</v>
      </c>
      <c r="I57" t="b">
        <v>0</v>
      </c>
      <c r="J57">
        <v>13</v>
      </c>
      <c r="K57" t="s">
        <v>18</v>
      </c>
      <c r="L57" t="str" cm="1">
        <f t="array" ref="L57">_xlfn.IFS(
J57&lt;=15,"Active",
J57&lt;=30,"Warm",
J57&gt;30,"Inactive"
)</f>
        <v>Active</v>
      </c>
      <c r="M57" t="str">
        <f t="shared" si="0"/>
        <v>Medium Value</v>
      </c>
      <c r="N57" t="str" cm="1">
        <f t="array" ref="N57">_xlfn.IFS(
C57&lt;=28,"25-28",
C57&lt;=32,"29-32",
C57&lt;=36,"33-36",
C57&lt;=40,"37-40",
C57&lt;=45,"41-45"
)</f>
        <v>33-36</v>
      </c>
    </row>
    <row r="58" spans="1:14" x14ac:dyDescent="0.3">
      <c r="A58">
        <v>157</v>
      </c>
      <c r="B58" t="s">
        <v>11</v>
      </c>
      <c r="C58">
        <v>41</v>
      </c>
      <c r="D58" t="s">
        <v>19</v>
      </c>
      <c r="E58" t="s">
        <v>20</v>
      </c>
      <c r="F58">
        <v>485.25</v>
      </c>
      <c r="G58">
        <v>9</v>
      </c>
      <c r="H58">
        <v>3.6</v>
      </c>
      <c r="I58" t="b">
        <v>1</v>
      </c>
      <c r="J58">
        <v>39</v>
      </c>
      <c r="K58" t="s">
        <v>21</v>
      </c>
      <c r="L58" t="str" cm="1">
        <f t="array" ref="L58">_xlfn.IFS(
J58&lt;=15,"Active",
J58&lt;=30,"Warm",
J58&gt;30,"Inactive"
)</f>
        <v>Inactive</v>
      </c>
      <c r="M58" t="str">
        <f t="shared" si="0"/>
        <v>Low Value</v>
      </c>
      <c r="N58" t="str" cm="1">
        <f t="array" ref="N58">_xlfn.IFS(
C58&lt;=28,"25-28",
C58&lt;=32,"29-32",
C58&lt;=36,"33-36",
C58&lt;=40,"37-40",
C58&lt;=45,"41-45"
)</f>
        <v>41-45</v>
      </c>
    </row>
    <row r="59" spans="1:14" x14ac:dyDescent="0.3">
      <c r="A59">
        <v>158</v>
      </c>
      <c r="B59" t="s">
        <v>15</v>
      </c>
      <c r="C59">
        <v>28</v>
      </c>
      <c r="D59" t="s">
        <v>22</v>
      </c>
      <c r="E59" t="s">
        <v>13</v>
      </c>
      <c r="F59">
        <v>1500.1</v>
      </c>
      <c r="G59">
        <v>21</v>
      </c>
      <c r="H59">
        <v>4.9000000000000004</v>
      </c>
      <c r="I59" t="b">
        <v>0</v>
      </c>
      <c r="J59">
        <v>10</v>
      </c>
      <c r="K59" t="s">
        <v>14</v>
      </c>
      <c r="L59" t="str" cm="1">
        <f t="array" ref="L59">_xlfn.IFS(
J59&lt;=15,"Active",
J59&lt;=30,"Warm",
J59&gt;30,"Inactive"
)</f>
        <v>Active</v>
      </c>
      <c r="M59" t="str">
        <f t="shared" si="0"/>
        <v>High Value</v>
      </c>
      <c r="N59" t="str" cm="1">
        <f t="array" ref="N59">_xlfn.IFS(
C59&lt;=28,"25-28",
C59&lt;=32,"29-32",
C59&lt;=36,"33-36",
C59&lt;=40,"37-40",
C59&lt;=45,"41-45"
)</f>
        <v>25-28</v>
      </c>
    </row>
    <row r="60" spans="1:14" x14ac:dyDescent="0.3">
      <c r="A60">
        <v>159</v>
      </c>
      <c r="B60" t="s">
        <v>15</v>
      </c>
      <c r="C60">
        <v>32</v>
      </c>
      <c r="D60" t="s">
        <v>23</v>
      </c>
      <c r="E60" t="s">
        <v>17</v>
      </c>
      <c r="F60">
        <v>670.3</v>
      </c>
      <c r="G60">
        <v>10</v>
      </c>
      <c r="H60">
        <v>3.8</v>
      </c>
      <c r="I60" t="b">
        <v>1</v>
      </c>
      <c r="J60">
        <v>33</v>
      </c>
      <c r="K60" t="s">
        <v>21</v>
      </c>
      <c r="L60" t="str" cm="1">
        <f t="array" ref="L60">_xlfn.IFS(
J60&lt;=15,"Active",
J60&lt;=30,"Warm",
J60&gt;30,"Inactive"
)</f>
        <v>Inactive</v>
      </c>
      <c r="M60" t="str">
        <f t="shared" si="0"/>
        <v>Medium Value</v>
      </c>
      <c r="N60" t="str" cm="1">
        <f t="array" ref="N60">_xlfn.IFS(
C60&lt;=28,"25-28",
C60&lt;=32,"29-32",
C60&lt;=36,"33-36",
C60&lt;=40,"37-40",
C60&lt;=45,"41-45"
)</f>
        <v>29-32</v>
      </c>
    </row>
    <row r="61" spans="1:14" x14ac:dyDescent="0.3">
      <c r="A61">
        <v>160</v>
      </c>
      <c r="B61" t="s">
        <v>11</v>
      </c>
      <c r="C61">
        <v>36</v>
      </c>
      <c r="D61" t="s">
        <v>24</v>
      </c>
      <c r="E61" t="s">
        <v>20</v>
      </c>
      <c r="F61">
        <v>460.5</v>
      </c>
      <c r="G61">
        <v>8</v>
      </c>
      <c r="H61">
        <v>3.1</v>
      </c>
      <c r="I61" t="b">
        <v>0</v>
      </c>
      <c r="J61">
        <v>19</v>
      </c>
      <c r="K61" t="s">
        <v>18</v>
      </c>
      <c r="L61" t="str" cm="1">
        <f t="array" ref="L61">_xlfn.IFS(
J61&lt;=15,"Active",
J61&lt;=30,"Warm",
J61&gt;30,"Inactive"
)</f>
        <v>Warm</v>
      </c>
      <c r="M61" t="str">
        <f t="shared" si="0"/>
        <v>Low Value</v>
      </c>
      <c r="N61" t="str" cm="1">
        <f t="array" ref="N61">_xlfn.IFS(
C61&lt;=28,"25-28",
C61&lt;=32,"29-32",
C61&lt;=36,"33-36",
C61&lt;=40,"37-40",
C61&lt;=45,"41-45"
)</f>
        <v>33-36</v>
      </c>
    </row>
    <row r="62" spans="1:14" x14ac:dyDescent="0.3">
      <c r="A62">
        <v>161</v>
      </c>
      <c r="B62" t="s">
        <v>11</v>
      </c>
      <c r="C62">
        <v>30</v>
      </c>
      <c r="D62" t="s">
        <v>12</v>
      </c>
      <c r="E62" t="s">
        <v>13</v>
      </c>
      <c r="F62">
        <v>1190.8</v>
      </c>
      <c r="G62">
        <v>16</v>
      </c>
      <c r="H62">
        <v>4.5</v>
      </c>
      <c r="I62" t="b">
        <v>1</v>
      </c>
      <c r="J62">
        <v>20</v>
      </c>
      <c r="K62" t="s">
        <v>14</v>
      </c>
      <c r="L62" t="str" cm="1">
        <f t="array" ref="L62">_xlfn.IFS(
J62&lt;=15,"Active",
J62&lt;=30,"Warm",
J62&gt;30,"Inactive"
)</f>
        <v>Warm</v>
      </c>
      <c r="M62" t="str">
        <f t="shared" si="0"/>
        <v>High Value</v>
      </c>
      <c r="N62" t="str" cm="1">
        <f t="array" ref="N62">_xlfn.IFS(
C62&lt;=28,"25-28",
C62&lt;=32,"29-32",
C62&lt;=36,"33-36",
C62&lt;=40,"37-40",
C62&lt;=45,"41-45"
)</f>
        <v>29-32</v>
      </c>
    </row>
    <row r="63" spans="1:14" x14ac:dyDescent="0.3">
      <c r="A63">
        <v>162</v>
      </c>
      <c r="B63" t="s">
        <v>15</v>
      </c>
      <c r="C63">
        <v>33</v>
      </c>
      <c r="D63" t="s">
        <v>16</v>
      </c>
      <c r="E63" t="s">
        <v>17</v>
      </c>
      <c r="F63">
        <v>830.75</v>
      </c>
      <c r="G63">
        <v>13</v>
      </c>
      <c r="H63">
        <v>4.2</v>
      </c>
      <c r="I63" t="b">
        <v>0</v>
      </c>
      <c r="J63">
        <v>14</v>
      </c>
      <c r="K63" t="s">
        <v>14</v>
      </c>
      <c r="L63" t="str" cm="1">
        <f t="array" ref="L63">_xlfn.IFS(
J63&lt;=15,"Active",
J63&lt;=30,"Warm",
J63&gt;30,"Inactive"
)</f>
        <v>Active</v>
      </c>
      <c r="M63" t="str">
        <f t="shared" si="0"/>
        <v>Medium Value</v>
      </c>
      <c r="N63" t="str" cm="1">
        <f t="array" ref="N63">_xlfn.IFS(
C63&lt;=28,"25-28",
C63&lt;=32,"29-32",
C63&lt;=36,"33-36",
C63&lt;=40,"37-40",
C63&lt;=45,"41-45"
)</f>
        <v>33-36</v>
      </c>
    </row>
    <row r="64" spans="1:14" x14ac:dyDescent="0.3">
      <c r="A64">
        <v>163</v>
      </c>
      <c r="B64" t="s">
        <v>11</v>
      </c>
      <c r="C64">
        <v>42</v>
      </c>
      <c r="D64" t="s">
        <v>19</v>
      </c>
      <c r="E64" t="s">
        <v>20</v>
      </c>
      <c r="F64">
        <v>520.4</v>
      </c>
      <c r="G64">
        <v>9</v>
      </c>
      <c r="H64">
        <v>3.5</v>
      </c>
      <c r="I64" t="b">
        <v>1</v>
      </c>
      <c r="J64">
        <v>37</v>
      </c>
      <c r="K64" t="s">
        <v>21</v>
      </c>
      <c r="L64" t="str" cm="1">
        <f t="array" ref="L64">_xlfn.IFS(
J64&lt;=15,"Active",
J64&lt;=30,"Warm",
J64&gt;30,"Inactive"
)</f>
        <v>Inactive</v>
      </c>
      <c r="M64" t="str">
        <f t="shared" si="0"/>
        <v>Medium Value</v>
      </c>
      <c r="N64" t="str" cm="1">
        <f t="array" ref="N64">_xlfn.IFS(
C64&lt;=28,"25-28",
C64&lt;=32,"29-32",
C64&lt;=36,"33-36",
C64&lt;=40,"37-40",
C64&lt;=45,"41-45"
)</f>
        <v>41-45</v>
      </c>
    </row>
    <row r="65" spans="1:14" x14ac:dyDescent="0.3">
      <c r="A65">
        <v>164</v>
      </c>
      <c r="B65" t="s">
        <v>15</v>
      </c>
      <c r="C65">
        <v>29</v>
      </c>
      <c r="D65" t="s">
        <v>22</v>
      </c>
      <c r="E65" t="s">
        <v>13</v>
      </c>
      <c r="F65">
        <v>1370.2</v>
      </c>
      <c r="G65">
        <v>18</v>
      </c>
      <c r="H65">
        <v>4.7</v>
      </c>
      <c r="I65" t="b">
        <v>0</v>
      </c>
      <c r="J65">
        <v>10</v>
      </c>
      <c r="K65" t="s">
        <v>14</v>
      </c>
      <c r="L65" t="str" cm="1">
        <f t="array" ref="L65">_xlfn.IFS(
J65&lt;=15,"Active",
J65&lt;=30,"Warm",
J65&gt;30,"Inactive"
)</f>
        <v>Active</v>
      </c>
      <c r="M65" t="str">
        <f t="shared" si="0"/>
        <v>High Value</v>
      </c>
      <c r="N65" t="str" cm="1">
        <f t="array" ref="N65">_xlfn.IFS(
C65&lt;=28,"25-28",
C65&lt;=32,"29-32",
C65&lt;=36,"33-36",
C65&lt;=40,"37-40",
C65&lt;=45,"41-45"
)</f>
        <v>29-32</v>
      </c>
    </row>
    <row r="66" spans="1:14" x14ac:dyDescent="0.3">
      <c r="A66">
        <v>165</v>
      </c>
      <c r="B66" t="s">
        <v>15</v>
      </c>
      <c r="C66">
        <v>26</v>
      </c>
      <c r="D66" t="s">
        <v>23</v>
      </c>
      <c r="E66" t="s">
        <v>17</v>
      </c>
      <c r="F66">
        <v>690.6</v>
      </c>
      <c r="G66">
        <v>12</v>
      </c>
      <c r="H66">
        <v>3.9</v>
      </c>
      <c r="I66" t="b">
        <v>1</v>
      </c>
      <c r="J66">
        <v>47</v>
      </c>
      <c r="K66" t="s">
        <v>21</v>
      </c>
      <c r="L66" t="str" cm="1">
        <f t="array" ref="L66">_xlfn.IFS(
J66&lt;=15,"Active",
J66&lt;=30,"Warm",
J66&gt;30,"Inactive"
)</f>
        <v>Inactive</v>
      </c>
      <c r="M66" t="str">
        <f t="shared" ref="M66:M129" si="1">IF(F66&gt;1000,"High Value",
IF(F66&gt;500,"Medium Value","Low Value"))</f>
        <v>Medium Value</v>
      </c>
      <c r="N66" t="str" cm="1">
        <f t="array" ref="N66">_xlfn.IFS(
C66&lt;=28,"25-28",
C66&lt;=32,"29-32",
C66&lt;=36,"33-36",
C66&lt;=40,"37-40",
C66&lt;=45,"41-45"
)</f>
        <v>25-28</v>
      </c>
    </row>
    <row r="67" spans="1:14" x14ac:dyDescent="0.3">
      <c r="A67">
        <v>166</v>
      </c>
      <c r="B67" t="s">
        <v>11</v>
      </c>
      <c r="C67">
        <v>38</v>
      </c>
      <c r="D67" t="s">
        <v>24</v>
      </c>
      <c r="E67" t="s">
        <v>20</v>
      </c>
      <c r="F67">
        <v>440.9</v>
      </c>
      <c r="G67">
        <v>8</v>
      </c>
      <c r="H67">
        <v>3.2</v>
      </c>
      <c r="I67" t="b">
        <v>0</v>
      </c>
      <c r="J67">
        <v>24</v>
      </c>
      <c r="K67" t="s">
        <v>18</v>
      </c>
      <c r="L67" t="str" cm="1">
        <f t="array" ref="L67">_xlfn.IFS(
J67&lt;=15,"Active",
J67&lt;=30,"Warm",
J67&gt;30,"Inactive"
)</f>
        <v>Warm</v>
      </c>
      <c r="M67" t="str">
        <f t="shared" si="1"/>
        <v>Low Value</v>
      </c>
      <c r="N67" t="str" cm="1">
        <f t="array" ref="N67">_xlfn.IFS(
C67&lt;=28,"25-28",
C67&lt;=32,"29-32",
C67&lt;=36,"33-36",
C67&lt;=40,"37-40",
C67&lt;=45,"41-45"
)</f>
        <v>37-40</v>
      </c>
    </row>
    <row r="68" spans="1:14" x14ac:dyDescent="0.3">
      <c r="A68">
        <v>167</v>
      </c>
      <c r="B68" t="s">
        <v>11</v>
      </c>
      <c r="C68">
        <v>32</v>
      </c>
      <c r="D68" t="s">
        <v>12</v>
      </c>
      <c r="E68" t="s">
        <v>13</v>
      </c>
      <c r="F68">
        <v>1160.3</v>
      </c>
      <c r="G68">
        <v>14</v>
      </c>
      <c r="H68">
        <v>4.4000000000000004</v>
      </c>
      <c r="I68" t="b">
        <v>1</v>
      </c>
      <c r="J68">
        <v>22</v>
      </c>
      <c r="K68" t="s">
        <v>14</v>
      </c>
      <c r="L68" t="str" cm="1">
        <f t="array" ref="L68">_xlfn.IFS(
J68&lt;=15,"Active",
J68&lt;=30,"Warm",
J68&gt;30,"Inactive"
)</f>
        <v>Warm</v>
      </c>
      <c r="M68" t="str">
        <f t="shared" si="1"/>
        <v>High Value</v>
      </c>
      <c r="N68" t="str" cm="1">
        <f t="array" ref="N68">_xlfn.IFS(
C68&lt;=28,"25-28",
C68&lt;=32,"29-32",
C68&lt;=36,"33-36",
C68&lt;=40,"37-40",
C68&lt;=45,"41-45"
)</f>
        <v>29-32</v>
      </c>
    </row>
    <row r="69" spans="1:14" x14ac:dyDescent="0.3">
      <c r="A69">
        <v>168</v>
      </c>
      <c r="B69" t="s">
        <v>15</v>
      </c>
      <c r="C69">
        <v>34</v>
      </c>
      <c r="D69" t="s">
        <v>16</v>
      </c>
      <c r="E69" t="s">
        <v>17</v>
      </c>
      <c r="F69">
        <v>800.2</v>
      </c>
      <c r="G69">
        <v>11</v>
      </c>
      <c r="H69">
        <v>4.0999999999999996</v>
      </c>
      <c r="I69" t="b">
        <v>0</v>
      </c>
      <c r="J69">
        <v>17</v>
      </c>
      <c r="K69" t="s">
        <v>18</v>
      </c>
      <c r="L69" t="str" cm="1">
        <f t="array" ref="L69">_xlfn.IFS(
J69&lt;=15,"Active",
J69&lt;=30,"Warm",
J69&gt;30,"Inactive"
)</f>
        <v>Warm</v>
      </c>
      <c r="M69" t="str">
        <f t="shared" si="1"/>
        <v>Medium Value</v>
      </c>
      <c r="N69" t="str" cm="1">
        <f t="array" ref="N69">_xlfn.IFS(
C69&lt;=28,"25-28",
C69&lt;=32,"29-32",
C69&lt;=36,"33-36",
C69&lt;=40,"37-40",
C69&lt;=45,"41-45"
)</f>
        <v>33-36</v>
      </c>
    </row>
    <row r="70" spans="1:14" x14ac:dyDescent="0.3">
      <c r="A70">
        <v>169</v>
      </c>
      <c r="B70" t="s">
        <v>11</v>
      </c>
      <c r="C70">
        <v>43</v>
      </c>
      <c r="D70" t="s">
        <v>19</v>
      </c>
      <c r="E70" t="s">
        <v>20</v>
      </c>
      <c r="F70">
        <v>500.75</v>
      </c>
      <c r="G70">
        <v>10</v>
      </c>
      <c r="H70">
        <v>3.3</v>
      </c>
      <c r="I70" t="b">
        <v>1</v>
      </c>
      <c r="J70">
        <v>40</v>
      </c>
      <c r="K70" t="s">
        <v>21</v>
      </c>
      <c r="L70" t="str" cm="1">
        <f t="array" ref="L70">_xlfn.IFS(
J70&lt;=15,"Active",
J70&lt;=30,"Warm",
J70&gt;30,"Inactive"
)</f>
        <v>Inactive</v>
      </c>
      <c r="M70" t="str">
        <f t="shared" si="1"/>
        <v>Medium Value</v>
      </c>
      <c r="N70" t="str" cm="1">
        <f t="array" ref="N70">_xlfn.IFS(
C70&lt;=28,"25-28",
C70&lt;=32,"29-32",
C70&lt;=36,"33-36",
C70&lt;=40,"37-40",
C70&lt;=45,"41-45"
)</f>
        <v>41-45</v>
      </c>
    </row>
    <row r="71" spans="1:14" x14ac:dyDescent="0.3">
      <c r="A71">
        <v>170</v>
      </c>
      <c r="B71" t="s">
        <v>15</v>
      </c>
      <c r="C71">
        <v>30</v>
      </c>
      <c r="D71" t="s">
        <v>22</v>
      </c>
      <c r="E71" t="s">
        <v>13</v>
      </c>
      <c r="F71">
        <v>1460.5</v>
      </c>
      <c r="G71">
        <v>20</v>
      </c>
      <c r="H71">
        <v>4.8</v>
      </c>
      <c r="I71" t="b">
        <v>0</v>
      </c>
      <c r="J71">
        <v>12</v>
      </c>
      <c r="K71" t="s">
        <v>14</v>
      </c>
      <c r="L71" t="str" cm="1">
        <f t="array" ref="L71">_xlfn.IFS(
J71&lt;=15,"Active",
J71&lt;=30,"Warm",
J71&gt;30,"Inactive"
)</f>
        <v>Active</v>
      </c>
      <c r="M71" t="str">
        <f t="shared" si="1"/>
        <v>High Value</v>
      </c>
      <c r="N71" t="str" cm="1">
        <f t="array" ref="N71">_xlfn.IFS(
C71&lt;=28,"25-28",
C71&lt;=32,"29-32",
C71&lt;=36,"33-36",
C71&lt;=40,"37-40",
C71&lt;=45,"41-45"
)</f>
        <v>29-32</v>
      </c>
    </row>
    <row r="72" spans="1:14" x14ac:dyDescent="0.3">
      <c r="A72">
        <v>171</v>
      </c>
      <c r="B72" t="s">
        <v>15</v>
      </c>
      <c r="C72">
        <v>27</v>
      </c>
      <c r="D72" t="s">
        <v>23</v>
      </c>
      <c r="E72" t="s">
        <v>17</v>
      </c>
      <c r="F72">
        <v>700.4</v>
      </c>
      <c r="G72">
        <v>13</v>
      </c>
      <c r="H72">
        <v>4</v>
      </c>
      <c r="I72" t="b">
        <v>1</v>
      </c>
      <c r="J72">
        <v>53</v>
      </c>
      <c r="K72" t="s">
        <v>21</v>
      </c>
      <c r="L72" t="str" cm="1">
        <f t="array" ref="L72">_xlfn.IFS(
J72&lt;=15,"Active",
J72&lt;=30,"Warm",
J72&gt;30,"Inactive"
)</f>
        <v>Inactive</v>
      </c>
      <c r="M72" t="str">
        <f t="shared" si="1"/>
        <v>Medium Value</v>
      </c>
      <c r="N72" t="str" cm="1">
        <f t="array" ref="N72">_xlfn.IFS(
C72&lt;=28,"25-28",
C72&lt;=32,"29-32",
C72&lt;=36,"33-36",
C72&lt;=40,"37-40",
C72&lt;=45,"41-45"
)</f>
        <v>25-28</v>
      </c>
    </row>
    <row r="73" spans="1:14" x14ac:dyDescent="0.3">
      <c r="A73">
        <v>172</v>
      </c>
      <c r="B73" t="s">
        <v>11</v>
      </c>
      <c r="C73">
        <v>37</v>
      </c>
      <c r="D73" t="s">
        <v>24</v>
      </c>
      <c r="E73" t="s">
        <v>20</v>
      </c>
      <c r="F73">
        <v>420.8</v>
      </c>
      <c r="G73">
        <v>7</v>
      </c>
      <c r="H73">
        <v>3.1</v>
      </c>
      <c r="I73" t="b">
        <v>0</v>
      </c>
      <c r="J73">
        <v>21</v>
      </c>
      <c r="K73" t="s">
        <v>21</v>
      </c>
      <c r="L73" t="str" cm="1">
        <f t="array" ref="L73">_xlfn.IFS(
J73&lt;=15,"Active",
J73&lt;=30,"Warm",
J73&gt;30,"Inactive"
)</f>
        <v>Warm</v>
      </c>
      <c r="M73" t="str">
        <f t="shared" si="1"/>
        <v>Low Value</v>
      </c>
      <c r="N73" t="str" cm="1">
        <f t="array" ref="N73">_xlfn.IFS(
C73&lt;=28,"25-28",
C73&lt;=32,"29-32",
C73&lt;=36,"33-36",
C73&lt;=40,"37-40",
C73&lt;=45,"41-45"
)</f>
        <v>37-40</v>
      </c>
    </row>
    <row r="74" spans="1:14" x14ac:dyDescent="0.3">
      <c r="A74">
        <v>173</v>
      </c>
      <c r="B74" t="s">
        <v>11</v>
      </c>
      <c r="C74">
        <v>31</v>
      </c>
      <c r="D74" t="s">
        <v>12</v>
      </c>
      <c r="E74" t="s">
        <v>13</v>
      </c>
      <c r="F74">
        <v>1130.5999999999999</v>
      </c>
      <c r="G74">
        <v>15</v>
      </c>
      <c r="H74">
        <v>4.5</v>
      </c>
      <c r="I74" t="b">
        <v>1</v>
      </c>
      <c r="J74">
        <v>26</v>
      </c>
      <c r="K74" t="s">
        <v>14</v>
      </c>
      <c r="L74" t="str" cm="1">
        <f t="array" ref="L74">_xlfn.IFS(
J74&lt;=15,"Active",
J74&lt;=30,"Warm",
J74&gt;30,"Inactive"
)</f>
        <v>Warm</v>
      </c>
      <c r="M74" t="str">
        <f t="shared" si="1"/>
        <v>High Value</v>
      </c>
      <c r="N74" t="str" cm="1">
        <f t="array" ref="N74">_xlfn.IFS(
C74&lt;=28,"25-28",
C74&lt;=32,"29-32",
C74&lt;=36,"33-36",
C74&lt;=40,"37-40",
C74&lt;=45,"41-45"
)</f>
        <v>29-32</v>
      </c>
    </row>
    <row r="75" spans="1:14" x14ac:dyDescent="0.3">
      <c r="A75">
        <v>174</v>
      </c>
      <c r="B75" t="s">
        <v>15</v>
      </c>
      <c r="C75">
        <v>35</v>
      </c>
      <c r="D75" t="s">
        <v>16</v>
      </c>
      <c r="E75" t="s">
        <v>17</v>
      </c>
      <c r="F75">
        <v>820.9</v>
      </c>
      <c r="G75">
        <v>12</v>
      </c>
      <c r="H75">
        <v>4.3</v>
      </c>
      <c r="I75" t="b">
        <v>0</v>
      </c>
      <c r="J75">
        <v>12</v>
      </c>
      <c r="K75" t="s">
        <v>18</v>
      </c>
      <c r="L75" t="str" cm="1">
        <f t="array" ref="L75">_xlfn.IFS(
J75&lt;=15,"Active",
J75&lt;=30,"Warm",
J75&gt;30,"Inactive"
)</f>
        <v>Active</v>
      </c>
      <c r="M75" t="str">
        <f t="shared" si="1"/>
        <v>Medium Value</v>
      </c>
      <c r="N75" t="str" cm="1">
        <f t="array" ref="N75">_xlfn.IFS(
C75&lt;=28,"25-28",
C75&lt;=32,"29-32",
C75&lt;=36,"33-36",
C75&lt;=40,"37-40",
C75&lt;=45,"41-45"
)</f>
        <v>33-36</v>
      </c>
    </row>
    <row r="76" spans="1:14" x14ac:dyDescent="0.3">
      <c r="A76">
        <v>175</v>
      </c>
      <c r="B76" t="s">
        <v>11</v>
      </c>
      <c r="C76">
        <v>41</v>
      </c>
      <c r="D76" t="s">
        <v>19</v>
      </c>
      <c r="E76" t="s">
        <v>20</v>
      </c>
      <c r="F76">
        <v>480.25</v>
      </c>
      <c r="G76">
        <v>9</v>
      </c>
      <c r="H76">
        <v>3.6</v>
      </c>
      <c r="I76" t="b">
        <v>1</v>
      </c>
      <c r="J76">
        <v>38</v>
      </c>
      <c r="K76" t="s">
        <v>21</v>
      </c>
      <c r="L76" t="str" cm="1">
        <f t="array" ref="L76">_xlfn.IFS(
J76&lt;=15,"Active",
J76&lt;=30,"Warm",
J76&gt;30,"Inactive"
)</f>
        <v>Inactive</v>
      </c>
      <c r="M76" t="str">
        <f t="shared" si="1"/>
        <v>Low Value</v>
      </c>
      <c r="N76" t="str" cm="1">
        <f t="array" ref="N76">_xlfn.IFS(
C76&lt;=28,"25-28",
C76&lt;=32,"29-32",
C76&lt;=36,"33-36",
C76&lt;=40,"37-40",
C76&lt;=45,"41-45"
)</f>
        <v>41-45</v>
      </c>
    </row>
    <row r="77" spans="1:14" x14ac:dyDescent="0.3">
      <c r="A77">
        <v>176</v>
      </c>
      <c r="B77" t="s">
        <v>15</v>
      </c>
      <c r="C77">
        <v>28</v>
      </c>
      <c r="D77" t="s">
        <v>22</v>
      </c>
      <c r="E77" t="s">
        <v>13</v>
      </c>
      <c r="F77">
        <v>1490.1</v>
      </c>
      <c r="G77">
        <v>21</v>
      </c>
      <c r="H77">
        <v>4.9000000000000004</v>
      </c>
      <c r="I77" t="b">
        <v>0</v>
      </c>
      <c r="J77">
        <v>9</v>
      </c>
      <c r="K77" t="s">
        <v>14</v>
      </c>
      <c r="L77" t="str" cm="1">
        <f t="array" ref="L77">_xlfn.IFS(
J77&lt;=15,"Active",
J77&lt;=30,"Warm",
J77&gt;30,"Inactive"
)</f>
        <v>Active</v>
      </c>
      <c r="M77" t="str">
        <f t="shared" si="1"/>
        <v>High Value</v>
      </c>
      <c r="N77" t="str" cm="1">
        <f t="array" ref="N77">_xlfn.IFS(
C77&lt;=28,"25-28",
C77&lt;=32,"29-32",
C77&lt;=36,"33-36",
C77&lt;=40,"37-40",
C77&lt;=45,"41-45"
)</f>
        <v>25-28</v>
      </c>
    </row>
    <row r="78" spans="1:14" x14ac:dyDescent="0.3">
      <c r="A78">
        <v>177</v>
      </c>
      <c r="B78" t="s">
        <v>15</v>
      </c>
      <c r="C78">
        <v>32</v>
      </c>
      <c r="D78" t="s">
        <v>23</v>
      </c>
      <c r="E78" t="s">
        <v>17</v>
      </c>
      <c r="F78">
        <v>680.3</v>
      </c>
      <c r="G78">
        <v>10</v>
      </c>
      <c r="H78">
        <v>3.8</v>
      </c>
      <c r="I78" t="b">
        <v>1</v>
      </c>
      <c r="J78">
        <v>32</v>
      </c>
      <c r="K78" t="s">
        <v>21</v>
      </c>
      <c r="L78" t="str" cm="1">
        <f t="array" ref="L78">_xlfn.IFS(
J78&lt;=15,"Active",
J78&lt;=30,"Warm",
J78&gt;30,"Inactive"
)</f>
        <v>Inactive</v>
      </c>
      <c r="M78" t="str">
        <f t="shared" si="1"/>
        <v>Medium Value</v>
      </c>
      <c r="N78" t="str" cm="1">
        <f t="array" ref="N78">_xlfn.IFS(
C78&lt;=28,"25-28",
C78&lt;=32,"29-32",
C78&lt;=36,"33-36",
C78&lt;=40,"37-40",
C78&lt;=45,"41-45"
)</f>
        <v>29-32</v>
      </c>
    </row>
    <row r="79" spans="1:14" x14ac:dyDescent="0.3">
      <c r="A79">
        <v>178</v>
      </c>
      <c r="B79" t="s">
        <v>11</v>
      </c>
      <c r="C79">
        <v>36</v>
      </c>
      <c r="D79" t="s">
        <v>24</v>
      </c>
      <c r="E79" t="s">
        <v>20</v>
      </c>
      <c r="F79">
        <v>470.5</v>
      </c>
      <c r="G79">
        <v>8</v>
      </c>
      <c r="H79">
        <v>3</v>
      </c>
      <c r="I79" t="b">
        <v>0</v>
      </c>
      <c r="J79">
        <v>18</v>
      </c>
      <c r="K79" t="s">
        <v>18</v>
      </c>
      <c r="L79" t="str" cm="1">
        <f t="array" ref="L79">_xlfn.IFS(
J79&lt;=15,"Active",
J79&lt;=30,"Warm",
J79&gt;30,"Inactive"
)</f>
        <v>Warm</v>
      </c>
      <c r="M79" t="str">
        <f t="shared" si="1"/>
        <v>Low Value</v>
      </c>
      <c r="N79" t="str" cm="1">
        <f t="array" ref="N79">_xlfn.IFS(
C79&lt;=28,"25-28",
C79&lt;=32,"29-32",
C79&lt;=36,"33-36",
C79&lt;=40,"37-40",
C79&lt;=45,"41-45"
)</f>
        <v>33-36</v>
      </c>
    </row>
    <row r="80" spans="1:14" x14ac:dyDescent="0.3">
      <c r="A80">
        <v>179</v>
      </c>
      <c r="B80" t="s">
        <v>11</v>
      </c>
      <c r="C80">
        <v>30</v>
      </c>
      <c r="D80" t="s">
        <v>12</v>
      </c>
      <c r="E80" t="s">
        <v>13</v>
      </c>
      <c r="F80">
        <v>1180.8</v>
      </c>
      <c r="G80">
        <v>16</v>
      </c>
      <c r="H80">
        <v>4.7</v>
      </c>
      <c r="I80" t="b">
        <v>1</v>
      </c>
      <c r="J80">
        <v>19</v>
      </c>
      <c r="K80" t="s">
        <v>14</v>
      </c>
      <c r="L80" t="str" cm="1">
        <f t="array" ref="L80">_xlfn.IFS(
J80&lt;=15,"Active",
J80&lt;=30,"Warm",
J80&gt;30,"Inactive"
)</f>
        <v>Warm</v>
      </c>
      <c r="M80" t="str">
        <f t="shared" si="1"/>
        <v>High Value</v>
      </c>
      <c r="N80" t="str" cm="1">
        <f t="array" ref="N80">_xlfn.IFS(
C80&lt;=28,"25-28",
C80&lt;=32,"29-32",
C80&lt;=36,"33-36",
C80&lt;=40,"37-40",
C80&lt;=45,"41-45"
)</f>
        <v>29-32</v>
      </c>
    </row>
    <row r="81" spans="1:14" x14ac:dyDescent="0.3">
      <c r="A81">
        <v>180</v>
      </c>
      <c r="B81" t="s">
        <v>15</v>
      </c>
      <c r="C81">
        <v>34</v>
      </c>
      <c r="D81" t="s">
        <v>16</v>
      </c>
      <c r="E81" t="s">
        <v>17</v>
      </c>
      <c r="F81">
        <v>790.2</v>
      </c>
      <c r="G81">
        <v>11</v>
      </c>
      <c r="H81">
        <v>4</v>
      </c>
      <c r="I81" t="b">
        <v>0</v>
      </c>
      <c r="J81">
        <v>15</v>
      </c>
      <c r="K81" t="s">
        <v>18</v>
      </c>
      <c r="L81" t="str" cm="1">
        <f t="array" ref="L81">_xlfn.IFS(
J81&lt;=15,"Active",
J81&lt;=30,"Warm",
J81&gt;30,"Inactive"
)</f>
        <v>Active</v>
      </c>
      <c r="M81" t="str">
        <f t="shared" si="1"/>
        <v>Medium Value</v>
      </c>
      <c r="N81" t="str" cm="1">
        <f t="array" ref="N81">_xlfn.IFS(
C81&lt;=28,"25-28",
C81&lt;=32,"29-32",
C81&lt;=36,"33-36",
C81&lt;=40,"37-40",
C81&lt;=45,"41-45"
)</f>
        <v>33-36</v>
      </c>
    </row>
    <row r="82" spans="1:14" x14ac:dyDescent="0.3">
      <c r="A82">
        <v>181</v>
      </c>
      <c r="B82" t="s">
        <v>11</v>
      </c>
      <c r="C82">
        <v>43</v>
      </c>
      <c r="D82" t="s">
        <v>19</v>
      </c>
      <c r="E82" t="s">
        <v>20</v>
      </c>
      <c r="F82">
        <v>505.75</v>
      </c>
      <c r="G82">
        <v>10</v>
      </c>
      <c r="H82">
        <v>3.3</v>
      </c>
      <c r="I82" t="b">
        <v>1</v>
      </c>
      <c r="J82">
        <v>39</v>
      </c>
      <c r="K82" t="s">
        <v>21</v>
      </c>
      <c r="L82" t="str" cm="1">
        <f t="array" ref="L82">_xlfn.IFS(
J82&lt;=15,"Active",
J82&lt;=30,"Warm",
J82&gt;30,"Inactive"
)</f>
        <v>Inactive</v>
      </c>
      <c r="M82" t="str">
        <f t="shared" si="1"/>
        <v>Medium Value</v>
      </c>
      <c r="N82" t="str" cm="1">
        <f t="array" ref="N82">_xlfn.IFS(
C82&lt;=28,"25-28",
C82&lt;=32,"29-32",
C82&lt;=36,"33-36",
C82&lt;=40,"37-40",
C82&lt;=45,"41-45"
)</f>
        <v>41-45</v>
      </c>
    </row>
    <row r="83" spans="1:14" x14ac:dyDescent="0.3">
      <c r="A83">
        <v>182</v>
      </c>
      <c r="B83" t="s">
        <v>15</v>
      </c>
      <c r="C83">
        <v>30</v>
      </c>
      <c r="D83" t="s">
        <v>22</v>
      </c>
      <c r="E83" t="s">
        <v>13</v>
      </c>
      <c r="F83">
        <v>1470.5</v>
      </c>
      <c r="G83">
        <v>20</v>
      </c>
      <c r="H83">
        <v>4.8</v>
      </c>
      <c r="I83" t="b">
        <v>0</v>
      </c>
      <c r="J83">
        <v>13</v>
      </c>
      <c r="K83" t="s">
        <v>14</v>
      </c>
      <c r="L83" t="str" cm="1">
        <f t="array" ref="L83">_xlfn.IFS(
J83&lt;=15,"Active",
J83&lt;=30,"Warm",
J83&gt;30,"Inactive"
)</f>
        <v>Active</v>
      </c>
      <c r="M83" t="str">
        <f t="shared" si="1"/>
        <v>High Value</v>
      </c>
      <c r="N83" t="str" cm="1">
        <f t="array" ref="N83">_xlfn.IFS(
C83&lt;=28,"25-28",
C83&lt;=32,"29-32",
C83&lt;=36,"33-36",
C83&lt;=40,"37-40",
C83&lt;=45,"41-45"
)</f>
        <v>29-32</v>
      </c>
    </row>
    <row r="84" spans="1:14" x14ac:dyDescent="0.3">
      <c r="A84">
        <v>183</v>
      </c>
      <c r="B84" t="s">
        <v>15</v>
      </c>
      <c r="C84">
        <v>27</v>
      </c>
      <c r="D84" t="s">
        <v>23</v>
      </c>
      <c r="E84" t="s">
        <v>17</v>
      </c>
      <c r="F84">
        <v>710.4</v>
      </c>
      <c r="G84">
        <v>13</v>
      </c>
      <c r="H84">
        <v>4.0999999999999996</v>
      </c>
      <c r="I84" t="b">
        <v>1</v>
      </c>
      <c r="J84">
        <v>54</v>
      </c>
      <c r="K84" t="s">
        <v>21</v>
      </c>
      <c r="L84" t="str" cm="1">
        <f t="array" ref="L84">_xlfn.IFS(
J84&lt;=15,"Active",
J84&lt;=30,"Warm",
J84&gt;30,"Inactive"
)</f>
        <v>Inactive</v>
      </c>
      <c r="M84" t="str">
        <f t="shared" si="1"/>
        <v>Medium Value</v>
      </c>
      <c r="N84" t="str" cm="1">
        <f t="array" ref="N84">_xlfn.IFS(
C84&lt;=28,"25-28",
C84&lt;=32,"29-32",
C84&lt;=36,"33-36",
C84&lt;=40,"37-40",
C84&lt;=45,"41-45"
)</f>
        <v>25-28</v>
      </c>
    </row>
    <row r="85" spans="1:14" x14ac:dyDescent="0.3">
      <c r="A85">
        <v>184</v>
      </c>
      <c r="B85" t="s">
        <v>11</v>
      </c>
      <c r="C85">
        <v>37</v>
      </c>
      <c r="D85" t="s">
        <v>24</v>
      </c>
      <c r="E85" t="s">
        <v>20</v>
      </c>
      <c r="F85">
        <v>430.8</v>
      </c>
      <c r="G85">
        <v>7</v>
      </c>
      <c r="H85">
        <v>3.4</v>
      </c>
      <c r="I85" t="b">
        <v>0</v>
      </c>
      <c r="J85">
        <v>23</v>
      </c>
      <c r="K85" t="s">
        <v>18</v>
      </c>
      <c r="L85" t="str" cm="1">
        <f t="array" ref="L85">_xlfn.IFS(
J85&lt;=15,"Active",
J85&lt;=30,"Warm",
J85&gt;30,"Inactive"
)</f>
        <v>Warm</v>
      </c>
      <c r="M85" t="str">
        <f t="shared" si="1"/>
        <v>Low Value</v>
      </c>
      <c r="N85" t="str" cm="1">
        <f t="array" ref="N85">_xlfn.IFS(
C85&lt;=28,"25-28",
C85&lt;=32,"29-32",
C85&lt;=36,"33-36",
C85&lt;=40,"37-40",
C85&lt;=45,"41-45"
)</f>
        <v>37-40</v>
      </c>
    </row>
    <row r="86" spans="1:14" x14ac:dyDescent="0.3">
      <c r="A86">
        <v>185</v>
      </c>
      <c r="B86" t="s">
        <v>11</v>
      </c>
      <c r="C86">
        <v>31</v>
      </c>
      <c r="D86" t="s">
        <v>12</v>
      </c>
      <c r="E86" t="s">
        <v>13</v>
      </c>
      <c r="F86">
        <v>1140.5999999999999</v>
      </c>
      <c r="G86">
        <v>15</v>
      </c>
      <c r="H86">
        <v>4.5999999999999996</v>
      </c>
      <c r="I86" t="b">
        <v>1</v>
      </c>
      <c r="J86">
        <v>27</v>
      </c>
      <c r="K86" t="s">
        <v>14</v>
      </c>
      <c r="L86" t="str" cm="1">
        <f t="array" ref="L86">_xlfn.IFS(
J86&lt;=15,"Active",
J86&lt;=30,"Warm",
J86&gt;30,"Inactive"
)</f>
        <v>Warm</v>
      </c>
      <c r="M86" t="str">
        <f t="shared" si="1"/>
        <v>High Value</v>
      </c>
      <c r="N86" t="str" cm="1">
        <f t="array" ref="N86">_xlfn.IFS(
C86&lt;=28,"25-28",
C86&lt;=32,"29-32",
C86&lt;=36,"33-36",
C86&lt;=40,"37-40",
C86&lt;=45,"41-45"
)</f>
        <v>29-32</v>
      </c>
    </row>
    <row r="87" spans="1:14" x14ac:dyDescent="0.3">
      <c r="A87">
        <v>186</v>
      </c>
      <c r="B87" t="s">
        <v>15</v>
      </c>
      <c r="C87">
        <v>35</v>
      </c>
      <c r="D87" t="s">
        <v>16</v>
      </c>
      <c r="E87" t="s">
        <v>17</v>
      </c>
      <c r="F87">
        <v>810.9</v>
      </c>
      <c r="G87">
        <v>12</v>
      </c>
      <c r="H87">
        <v>4.3</v>
      </c>
      <c r="I87" t="b">
        <v>0</v>
      </c>
      <c r="J87">
        <v>13</v>
      </c>
      <c r="K87" t="s">
        <v>18</v>
      </c>
      <c r="L87" t="str" cm="1">
        <f t="array" ref="L87">_xlfn.IFS(
J87&lt;=15,"Active",
J87&lt;=30,"Warm",
J87&gt;30,"Inactive"
)</f>
        <v>Active</v>
      </c>
      <c r="M87" t="str">
        <f t="shared" si="1"/>
        <v>Medium Value</v>
      </c>
      <c r="N87" t="str" cm="1">
        <f t="array" ref="N87">_xlfn.IFS(
C87&lt;=28,"25-28",
C87&lt;=32,"29-32",
C87&lt;=36,"33-36",
C87&lt;=40,"37-40",
C87&lt;=45,"41-45"
)</f>
        <v>33-36</v>
      </c>
    </row>
    <row r="88" spans="1:14" x14ac:dyDescent="0.3">
      <c r="A88">
        <v>187</v>
      </c>
      <c r="B88" t="s">
        <v>11</v>
      </c>
      <c r="C88">
        <v>41</v>
      </c>
      <c r="D88" t="s">
        <v>19</v>
      </c>
      <c r="E88" t="s">
        <v>20</v>
      </c>
      <c r="F88">
        <v>485.25</v>
      </c>
      <c r="G88">
        <v>9</v>
      </c>
      <c r="H88">
        <v>3.6</v>
      </c>
      <c r="I88" t="b">
        <v>1</v>
      </c>
      <c r="J88">
        <v>39</v>
      </c>
      <c r="K88" t="s">
        <v>21</v>
      </c>
      <c r="L88" t="str" cm="1">
        <f t="array" ref="L88">_xlfn.IFS(
J88&lt;=15,"Active",
J88&lt;=30,"Warm",
J88&gt;30,"Inactive"
)</f>
        <v>Inactive</v>
      </c>
      <c r="M88" t="str">
        <f t="shared" si="1"/>
        <v>Low Value</v>
      </c>
      <c r="N88" t="str" cm="1">
        <f t="array" ref="N88">_xlfn.IFS(
C88&lt;=28,"25-28",
C88&lt;=32,"29-32",
C88&lt;=36,"33-36",
C88&lt;=40,"37-40",
C88&lt;=45,"41-45"
)</f>
        <v>41-45</v>
      </c>
    </row>
    <row r="89" spans="1:14" x14ac:dyDescent="0.3">
      <c r="A89">
        <v>188</v>
      </c>
      <c r="B89" t="s">
        <v>15</v>
      </c>
      <c r="C89">
        <v>28</v>
      </c>
      <c r="D89" t="s">
        <v>22</v>
      </c>
      <c r="E89" t="s">
        <v>13</v>
      </c>
      <c r="F89">
        <v>1500.1</v>
      </c>
      <c r="G89">
        <v>21</v>
      </c>
      <c r="H89">
        <v>4.9000000000000004</v>
      </c>
      <c r="I89" t="b">
        <v>0</v>
      </c>
      <c r="J89">
        <v>10</v>
      </c>
      <c r="K89" t="s">
        <v>14</v>
      </c>
      <c r="L89" t="str" cm="1">
        <f t="array" ref="L89">_xlfn.IFS(
J89&lt;=15,"Active",
J89&lt;=30,"Warm",
J89&gt;30,"Inactive"
)</f>
        <v>Active</v>
      </c>
      <c r="M89" t="str">
        <f t="shared" si="1"/>
        <v>High Value</v>
      </c>
      <c r="N89" t="str" cm="1">
        <f t="array" ref="N89">_xlfn.IFS(
C89&lt;=28,"25-28",
C89&lt;=32,"29-32",
C89&lt;=36,"33-36",
C89&lt;=40,"37-40",
C89&lt;=45,"41-45"
)</f>
        <v>25-28</v>
      </c>
    </row>
    <row r="90" spans="1:14" x14ac:dyDescent="0.3">
      <c r="A90">
        <v>189</v>
      </c>
      <c r="B90" t="s">
        <v>15</v>
      </c>
      <c r="C90">
        <v>32</v>
      </c>
      <c r="D90" t="s">
        <v>23</v>
      </c>
      <c r="E90" t="s">
        <v>17</v>
      </c>
      <c r="F90">
        <v>670.3</v>
      </c>
      <c r="G90">
        <v>10</v>
      </c>
      <c r="H90">
        <v>3.8</v>
      </c>
      <c r="I90" t="b">
        <v>1</v>
      </c>
      <c r="J90">
        <v>33</v>
      </c>
      <c r="K90" t="s">
        <v>21</v>
      </c>
      <c r="L90" t="str" cm="1">
        <f t="array" ref="L90">_xlfn.IFS(
J90&lt;=15,"Active",
J90&lt;=30,"Warm",
J90&gt;30,"Inactive"
)</f>
        <v>Inactive</v>
      </c>
      <c r="M90" t="str">
        <f t="shared" si="1"/>
        <v>Medium Value</v>
      </c>
      <c r="N90" t="str" cm="1">
        <f t="array" ref="N90">_xlfn.IFS(
C90&lt;=28,"25-28",
C90&lt;=32,"29-32",
C90&lt;=36,"33-36",
C90&lt;=40,"37-40",
C90&lt;=45,"41-45"
)</f>
        <v>29-32</v>
      </c>
    </row>
    <row r="91" spans="1:14" x14ac:dyDescent="0.3">
      <c r="A91">
        <v>190</v>
      </c>
      <c r="B91" t="s">
        <v>11</v>
      </c>
      <c r="C91">
        <v>36</v>
      </c>
      <c r="D91" t="s">
        <v>24</v>
      </c>
      <c r="E91" t="s">
        <v>20</v>
      </c>
      <c r="F91">
        <v>460.5</v>
      </c>
      <c r="G91">
        <v>8</v>
      </c>
      <c r="H91">
        <v>3.1</v>
      </c>
      <c r="I91" t="b">
        <v>0</v>
      </c>
      <c r="J91">
        <v>19</v>
      </c>
      <c r="K91" t="s">
        <v>18</v>
      </c>
      <c r="L91" t="str" cm="1">
        <f t="array" ref="L91">_xlfn.IFS(
J91&lt;=15,"Active",
J91&lt;=30,"Warm",
J91&gt;30,"Inactive"
)</f>
        <v>Warm</v>
      </c>
      <c r="M91" t="str">
        <f t="shared" si="1"/>
        <v>Low Value</v>
      </c>
      <c r="N91" t="str" cm="1">
        <f t="array" ref="N91">_xlfn.IFS(
C91&lt;=28,"25-28",
C91&lt;=32,"29-32",
C91&lt;=36,"33-36",
C91&lt;=40,"37-40",
C91&lt;=45,"41-45"
)</f>
        <v>33-36</v>
      </c>
    </row>
    <row r="92" spans="1:14" x14ac:dyDescent="0.3">
      <c r="A92">
        <v>191</v>
      </c>
      <c r="B92" t="s">
        <v>11</v>
      </c>
      <c r="C92">
        <v>30</v>
      </c>
      <c r="D92" t="s">
        <v>12</v>
      </c>
      <c r="E92" t="s">
        <v>13</v>
      </c>
      <c r="F92">
        <v>1190.8</v>
      </c>
      <c r="G92">
        <v>16</v>
      </c>
      <c r="H92">
        <v>4.5</v>
      </c>
      <c r="I92" t="b">
        <v>1</v>
      </c>
      <c r="J92">
        <v>20</v>
      </c>
      <c r="K92" t="s">
        <v>14</v>
      </c>
      <c r="L92" t="str" cm="1">
        <f t="array" ref="L92">_xlfn.IFS(
J92&lt;=15,"Active",
J92&lt;=30,"Warm",
J92&gt;30,"Inactive"
)</f>
        <v>Warm</v>
      </c>
      <c r="M92" t="str">
        <f t="shared" si="1"/>
        <v>High Value</v>
      </c>
      <c r="N92" t="str" cm="1">
        <f t="array" ref="N92">_xlfn.IFS(
C92&lt;=28,"25-28",
C92&lt;=32,"29-32",
C92&lt;=36,"33-36",
C92&lt;=40,"37-40",
C92&lt;=45,"41-45"
)</f>
        <v>29-32</v>
      </c>
    </row>
    <row r="93" spans="1:14" x14ac:dyDescent="0.3">
      <c r="A93">
        <v>192</v>
      </c>
      <c r="B93" t="s">
        <v>15</v>
      </c>
      <c r="C93">
        <v>33</v>
      </c>
      <c r="D93" t="s">
        <v>16</v>
      </c>
      <c r="E93" t="s">
        <v>17</v>
      </c>
      <c r="F93">
        <v>830.75</v>
      </c>
      <c r="G93">
        <v>13</v>
      </c>
      <c r="H93">
        <v>4.2</v>
      </c>
      <c r="I93" t="b">
        <v>0</v>
      </c>
      <c r="J93">
        <v>14</v>
      </c>
      <c r="K93" t="s">
        <v>14</v>
      </c>
      <c r="L93" t="str" cm="1">
        <f t="array" ref="L93">_xlfn.IFS(
J93&lt;=15,"Active",
J93&lt;=30,"Warm",
J93&gt;30,"Inactive"
)</f>
        <v>Active</v>
      </c>
      <c r="M93" t="str">
        <f t="shared" si="1"/>
        <v>Medium Value</v>
      </c>
      <c r="N93" t="str" cm="1">
        <f t="array" ref="N93">_xlfn.IFS(
C93&lt;=28,"25-28",
C93&lt;=32,"29-32",
C93&lt;=36,"33-36",
C93&lt;=40,"37-40",
C93&lt;=45,"41-45"
)</f>
        <v>33-36</v>
      </c>
    </row>
    <row r="94" spans="1:14" x14ac:dyDescent="0.3">
      <c r="A94">
        <v>193</v>
      </c>
      <c r="B94" t="s">
        <v>11</v>
      </c>
      <c r="C94">
        <v>42</v>
      </c>
      <c r="D94" t="s">
        <v>19</v>
      </c>
      <c r="E94" t="s">
        <v>20</v>
      </c>
      <c r="F94">
        <v>520.4</v>
      </c>
      <c r="G94">
        <v>9</v>
      </c>
      <c r="H94">
        <v>3.5</v>
      </c>
      <c r="I94" t="b">
        <v>1</v>
      </c>
      <c r="J94">
        <v>37</v>
      </c>
      <c r="K94" t="s">
        <v>21</v>
      </c>
      <c r="L94" t="str" cm="1">
        <f t="array" ref="L94">_xlfn.IFS(
J94&lt;=15,"Active",
J94&lt;=30,"Warm",
J94&gt;30,"Inactive"
)</f>
        <v>Inactive</v>
      </c>
      <c r="M94" t="str">
        <f t="shared" si="1"/>
        <v>Medium Value</v>
      </c>
      <c r="N94" t="str" cm="1">
        <f t="array" ref="N94">_xlfn.IFS(
C94&lt;=28,"25-28",
C94&lt;=32,"29-32",
C94&lt;=36,"33-36",
C94&lt;=40,"37-40",
C94&lt;=45,"41-45"
)</f>
        <v>41-45</v>
      </c>
    </row>
    <row r="95" spans="1:14" x14ac:dyDescent="0.3">
      <c r="A95">
        <v>194</v>
      </c>
      <c r="B95" t="s">
        <v>15</v>
      </c>
      <c r="C95">
        <v>29</v>
      </c>
      <c r="D95" t="s">
        <v>22</v>
      </c>
      <c r="E95" t="s">
        <v>13</v>
      </c>
      <c r="F95">
        <v>1370.2</v>
      </c>
      <c r="G95">
        <v>18</v>
      </c>
      <c r="H95">
        <v>4.7</v>
      </c>
      <c r="I95" t="b">
        <v>0</v>
      </c>
      <c r="J95">
        <v>10</v>
      </c>
      <c r="K95" t="s">
        <v>14</v>
      </c>
      <c r="L95" t="str" cm="1">
        <f t="array" ref="L95">_xlfn.IFS(
J95&lt;=15,"Active",
J95&lt;=30,"Warm",
J95&gt;30,"Inactive"
)</f>
        <v>Active</v>
      </c>
      <c r="M95" t="str">
        <f t="shared" si="1"/>
        <v>High Value</v>
      </c>
      <c r="N95" t="str" cm="1">
        <f t="array" ref="N95">_xlfn.IFS(
C95&lt;=28,"25-28",
C95&lt;=32,"29-32",
C95&lt;=36,"33-36",
C95&lt;=40,"37-40",
C95&lt;=45,"41-45"
)</f>
        <v>29-32</v>
      </c>
    </row>
    <row r="96" spans="1:14" x14ac:dyDescent="0.3">
      <c r="A96">
        <v>195</v>
      </c>
      <c r="B96" t="s">
        <v>15</v>
      </c>
      <c r="C96">
        <v>26</v>
      </c>
      <c r="D96" t="s">
        <v>23</v>
      </c>
      <c r="E96" t="s">
        <v>17</v>
      </c>
      <c r="F96">
        <v>690.6</v>
      </c>
      <c r="G96">
        <v>12</v>
      </c>
      <c r="H96">
        <v>3.9</v>
      </c>
      <c r="I96" t="b">
        <v>1</v>
      </c>
      <c r="J96">
        <v>47</v>
      </c>
      <c r="K96" t="s">
        <v>21</v>
      </c>
      <c r="L96" t="str" cm="1">
        <f t="array" ref="L96">_xlfn.IFS(
J96&lt;=15,"Active",
J96&lt;=30,"Warm",
J96&gt;30,"Inactive"
)</f>
        <v>Inactive</v>
      </c>
      <c r="M96" t="str">
        <f t="shared" si="1"/>
        <v>Medium Value</v>
      </c>
      <c r="N96" t="str" cm="1">
        <f t="array" ref="N96">_xlfn.IFS(
C96&lt;=28,"25-28",
C96&lt;=32,"29-32",
C96&lt;=36,"33-36",
C96&lt;=40,"37-40",
C96&lt;=45,"41-45"
)</f>
        <v>25-28</v>
      </c>
    </row>
    <row r="97" spans="1:14" x14ac:dyDescent="0.3">
      <c r="A97">
        <v>196</v>
      </c>
      <c r="B97" t="s">
        <v>11</v>
      </c>
      <c r="C97">
        <v>38</v>
      </c>
      <c r="D97" t="s">
        <v>24</v>
      </c>
      <c r="E97" t="s">
        <v>20</v>
      </c>
      <c r="F97">
        <v>440.9</v>
      </c>
      <c r="G97">
        <v>8</v>
      </c>
      <c r="H97">
        <v>3.2</v>
      </c>
      <c r="I97" t="b">
        <v>0</v>
      </c>
      <c r="J97">
        <v>24</v>
      </c>
      <c r="K97" t="s">
        <v>18</v>
      </c>
      <c r="L97" t="str" cm="1">
        <f t="array" ref="L97">_xlfn.IFS(
J97&lt;=15,"Active",
J97&lt;=30,"Warm",
J97&gt;30,"Inactive"
)</f>
        <v>Warm</v>
      </c>
      <c r="M97" t="str">
        <f t="shared" si="1"/>
        <v>Low Value</v>
      </c>
      <c r="N97" t="str" cm="1">
        <f t="array" ref="N97">_xlfn.IFS(
C97&lt;=28,"25-28",
C97&lt;=32,"29-32",
C97&lt;=36,"33-36",
C97&lt;=40,"37-40",
C97&lt;=45,"41-45"
)</f>
        <v>37-40</v>
      </c>
    </row>
    <row r="98" spans="1:14" x14ac:dyDescent="0.3">
      <c r="A98">
        <v>197</v>
      </c>
      <c r="B98" t="s">
        <v>11</v>
      </c>
      <c r="C98">
        <v>32</v>
      </c>
      <c r="D98" t="s">
        <v>12</v>
      </c>
      <c r="E98" t="s">
        <v>13</v>
      </c>
      <c r="F98">
        <v>1160.3</v>
      </c>
      <c r="G98">
        <v>14</v>
      </c>
      <c r="H98">
        <v>4.4000000000000004</v>
      </c>
      <c r="I98" t="b">
        <v>1</v>
      </c>
      <c r="J98">
        <v>22</v>
      </c>
      <c r="K98" t="s">
        <v>14</v>
      </c>
      <c r="L98" t="str" cm="1">
        <f t="array" ref="L98">_xlfn.IFS(
J98&lt;=15,"Active",
J98&lt;=30,"Warm",
J98&gt;30,"Inactive"
)</f>
        <v>Warm</v>
      </c>
      <c r="M98" t="str">
        <f t="shared" si="1"/>
        <v>High Value</v>
      </c>
      <c r="N98" t="str" cm="1">
        <f t="array" ref="N98">_xlfn.IFS(
C98&lt;=28,"25-28",
C98&lt;=32,"29-32",
C98&lt;=36,"33-36",
C98&lt;=40,"37-40",
C98&lt;=45,"41-45"
)</f>
        <v>29-32</v>
      </c>
    </row>
    <row r="99" spans="1:14" x14ac:dyDescent="0.3">
      <c r="A99">
        <v>198</v>
      </c>
      <c r="B99" t="s">
        <v>15</v>
      </c>
      <c r="C99">
        <v>34</v>
      </c>
      <c r="D99" t="s">
        <v>16</v>
      </c>
      <c r="E99" t="s">
        <v>17</v>
      </c>
      <c r="F99">
        <v>800.2</v>
      </c>
      <c r="G99">
        <v>11</v>
      </c>
      <c r="H99">
        <v>4.0999999999999996</v>
      </c>
      <c r="I99" t="b">
        <v>0</v>
      </c>
      <c r="J99">
        <v>17</v>
      </c>
      <c r="K99" t="s">
        <v>18</v>
      </c>
      <c r="L99" t="str" cm="1">
        <f t="array" ref="L99">_xlfn.IFS(
J99&lt;=15,"Active",
J99&lt;=30,"Warm",
J99&gt;30,"Inactive"
)</f>
        <v>Warm</v>
      </c>
      <c r="M99" t="str">
        <f t="shared" si="1"/>
        <v>Medium Value</v>
      </c>
      <c r="N99" t="str" cm="1">
        <f t="array" ref="N99">_xlfn.IFS(
C99&lt;=28,"25-28",
C99&lt;=32,"29-32",
C99&lt;=36,"33-36",
C99&lt;=40,"37-40",
C99&lt;=45,"41-45"
)</f>
        <v>33-36</v>
      </c>
    </row>
    <row r="100" spans="1:14" x14ac:dyDescent="0.3">
      <c r="A100">
        <v>199</v>
      </c>
      <c r="B100" t="s">
        <v>11</v>
      </c>
      <c r="C100">
        <v>43</v>
      </c>
      <c r="D100" t="s">
        <v>19</v>
      </c>
      <c r="E100" t="s">
        <v>20</v>
      </c>
      <c r="F100">
        <v>500.75</v>
      </c>
      <c r="G100">
        <v>10</v>
      </c>
      <c r="H100">
        <v>3.3</v>
      </c>
      <c r="I100" t="b">
        <v>1</v>
      </c>
      <c r="J100">
        <v>40</v>
      </c>
      <c r="K100" t="s">
        <v>21</v>
      </c>
      <c r="L100" t="str" cm="1">
        <f t="array" ref="L100">_xlfn.IFS(
J100&lt;=15,"Active",
J100&lt;=30,"Warm",
J100&gt;30,"Inactive"
)</f>
        <v>Inactive</v>
      </c>
      <c r="M100" t="str">
        <f t="shared" si="1"/>
        <v>Medium Value</v>
      </c>
      <c r="N100" t="str" cm="1">
        <f t="array" ref="N100">_xlfn.IFS(
C100&lt;=28,"25-28",
C100&lt;=32,"29-32",
C100&lt;=36,"33-36",
C100&lt;=40,"37-40",
C100&lt;=45,"41-45"
)</f>
        <v>41-45</v>
      </c>
    </row>
    <row r="101" spans="1:14" x14ac:dyDescent="0.3">
      <c r="A101">
        <v>200</v>
      </c>
      <c r="B101" t="s">
        <v>15</v>
      </c>
      <c r="C101">
        <v>30</v>
      </c>
      <c r="D101" t="s">
        <v>22</v>
      </c>
      <c r="E101" t="s">
        <v>13</v>
      </c>
      <c r="F101">
        <v>1460.5</v>
      </c>
      <c r="G101">
        <v>20</v>
      </c>
      <c r="H101">
        <v>4.8</v>
      </c>
      <c r="I101" t="b">
        <v>0</v>
      </c>
      <c r="J101">
        <v>12</v>
      </c>
      <c r="K101" t="s">
        <v>14</v>
      </c>
      <c r="L101" t="str" cm="1">
        <f t="array" ref="L101">_xlfn.IFS(
J101&lt;=15,"Active",
J101&lt;=30,"Warm",
J101&gt;30,"Inactive"
)</f>
        <v>Active</v>
      </c>
      <c r="M101" t="str">
        <f t="shared" si="1"/>
        <v>High Value</v>
      </c>
      <c r="N101" t="str" cm="1">
        <f t="array" ref="N101">_xlfn.IFS(
C101&lt;=28,"25-28",
C101&lt;=32,"29-32",
C101&lt;=36,"33-36",
C101&lt;=40,"37-40",
C101&lt;=45,"41-45"
)</f>
        <v>29-32</v>
      </c>
    </row>
    <row r="102" spans="1:14" x14ac:dyDescent="0.3">
      <c r="A102">
        <v>201</v>
      </c>
      <c r="B102" t="s">
        <v>15</v>
      </c>
      <c r="C102">
        <v>27</v>
      </c>
      <c r="D102" t="s">
        <v>23</v>
      </c>
      <c r="E102" t="s">
        <v>17</v>
      </c>
      <c r="F102">
        <v>700.4</v>
      </c>
      <c r="G102">
        <v>13</v>
      </c>
      <c r="H102">
        <v>4</v>
      </c>
      <c r="I102" t="b">
        <v>1</v>
      </c>
      <c r="J102">
        <v>53</v>
      </c>
      <c r="K102" t="s">
        <v>21</v>
      </c>
      <c r="L102" t="str" cm="1">
        <f t="array" ref="L102">_xlfn.IFS(
J102&lt;=15,"Active",
J102&lt;=30,"Warm",
J102&gt;30,"Inactive"
)</f>
        <v>Inactive</v>
      </c>
      <c r="M102" t="str">
        <f t="shared" si="1"/>
        <v>Medium Value</v>
      </c>
      <c r="N102" t="str" cm="1">
        <f t="array" ref="N102">_xlfn.IFS(
C102&lt;=28,"25-28",
C102&lt;=32,"29-32",
C102&lt;=36,"33-36",
C102&lt;=40,"37-40",
C102&lt;=45,"41-45"
)</f>
        <v>25-28</v>
      </c>
    </row>
    <row r="103" spans="1:14" x14ac:dyDescent="0.3">
      <c r="A103">
        <v>202</v>
      </c>
      <c r="B103" t="s">
        <v>11</v>
      </c>
      <c r="C103">
        <v>37</v>
      </c>
      <c r="D103" t="s">
        <v>24</v>
      </c>
      <c r="E103" t="s">
        <v>20</v>
      </c>
      <c r="F103">
        <v>420.8</v>
      </c>
      <c r="G103">
        <v>7</v>
      </c>
      <c r="H103">
        <v>3.1</v>
      </c>
      <c r="I103" t="b">
        <v>0</v>
      </c>
      <c r="J103">
        <v>21</v>
      </c>
      <c r="K103" t="s">
        <v>18</v>
      </c>
      <c r="L103" t="str" cm="1">
        <f t="array" ref="L103">_xlfn.IFS(
J103&lt;=15,"Active",
J103&lt;=30,"Warm",
J103&gt;30,"Inactive"
)</f>
        <v>Warm</v>
      </c>
      <c r="M103" t="str">
        <f t="shared" si="1"/>
        <v>Low Value</v>
      </c>
      <c r="N103" t="str" cm="1">
        <f t="array" ref="N103">_xlfn.IFS(
C103&lt;=28,"25-28",
C103&lt;=32,"29-32",
C103&lt;=36,"33-36",
C103&lt;=40,"37-40",
C103&lt;=45,"41-45"
)</f>
        <v>37-40</v>
      </c>
    </row>
    <row r="104" spans="1:14" x14ac:dyDescent="0.3">
      <c r="A104">
        <v>203</v>
      </c>
      <c r="B104" t="s">
        <v>11</v>
      </c>
      <c r="C104">
        <v>31</v>
      </c>
      <c r="D104" t="s">
        <v>12</v>
      </c>
      <c r="E104" t="s">
        <v>13</v>
      </c>
      <c r="F104">
        <v>1130.5999999999999</v>
      </c>
      <c r="G104">
        <v>15</v>
      </c>
      <c r="H104">
        <v>4.5</v>
      </c>
      <c r="I104" t="b">
        <v>1</v>
      </c>
      <c r="J104">
        <v>26</v>
      </c>
      <c r="K104" t="s">
        <v>14</v>
      </c>
      <c r="L104" t="str" cm="1">
        <f t="array" ref="L104">_xlfn.IFS(
J104&lt;=15,"Active",
J104&lt;=30,"Warm",
J104&gt;30,"Inactive"
)</f>
        <v>Warm</v>
      </c>
      <c r="M104" t="str">
        <f t="shared" si="1"/>
        <v>High Value</v>
      </c>
      <c r="N104" t="str" cm="1">
        <f t="array" ref="N104">_xlfn.IFS(
C104&lt;=28,"25-28",
C104&lt;=32,"29-32",
C104&lt;=36,"33-36",
C104&lt;=40,"37-40",
C104&lt;=45,"41-45"
)</f>
        <v>29-32</v>
      </c>
    </row>
    <row r="105" spans="1:14" x14ac:dyDescent="0.3">
      <c r="A105">
        <v>204</v>
      </c>
      <c r="B105" t="s">
        <v>15</v>
      </c>
      <c r="C105">
        <v>35</v>
      </c>
      <c r="D105" t="s">
        <v>16</v>
      </c>
      <c r="E105" t="s">
        <v>17</v>
      </c>
      <c r="F105">
        <v>820.9</v>
      </c>
      <c r="G105">
        <v>12</v>
      </c>
      <c r="H105">
        <v>4.3</v>
      </c>
      <c r="I105" t="b">
        <v>0</v>
      </c>
      <c r="J105">
        <v>12</v>
      </c>
      <c r="K105" t="s">
        <v>18</v>
      </c>
      <c r="L105" t="str" cm="1">
        <f t="array" ref="L105">_xlfn.IFS(
J105&lt;=15,"Active",
J105&lt;=30,"Warm",
J105&gt;30,"Inactive"
)</f>
        <v>Active</v>
      </c>
      <c r="M105" t="str">
        <f t="shared" si="1"/>
        <v>Medium Value</v>
      </c>
      <c r="N105" t="str" cm="1">
        <f t="array" ref="N105">_xlfn.IFS(
C105&lt;=28,"25-28",
C105&lt;=32,"29-32",
C105&lt;=36,"33-36",
C105&lt;=40,"37-40",
C105&lt;=45,"41-45"
)</f>
        <v>33-36</v>
      </c>
    </row>
    <row r="106" spans="1:14" x14ac:dyDescent="0.3">
      <c r="A106">
        <v>205</v>
      </c>
      <c r="B106" t="s">
        <v>11</v>
      </c>
      <c r="C106">
        <v>41</v>
      </c>
      <c r="D106" t="s">
        <v>19</v>
      </c>
      <c r="E106" t="s">
        <v>20</v>
      </c>
      <c r="F106">
        <v>480.25</v>
      </c>
      <c r="G106">
        <v>9</v>
      </c>
      <c r="H106">
        <v>3.6</v>
      </c>
      <c r="I106" t="b">
        <v>1</v>
      </c>
      <c r="J106">
        <v>38</v>
      </c>
      <c r="K106" t="s">
        <v>21</v>
      </c>
      <c r="L106" t="str" cm="1">
        <f t="array" ref="L106">_xlfn.IFS(
J106&lt;=15,"Active",
J106&lt;=30,"Warm",
J106&gt;30,"Inactive"
)</f>
        <v>Inactive</v>
      </c>
      <c r="M106" t="str">
        <f t="shared" si="1"/>
        <v>Low Value</v>
      </c>
      <c r="N106" t="str" cm="1">
        <f t="array" ref="N106">_xlfn.IFS(
C106&lt;=28,"25-28",
C106&lt;=32,"29-32",
C106&lt;=36,"33-36",
C106&lt;=40,"37-40",
C106&lt;=45,"41-45"
)</f>
        <v>41-45</v>
      </c>
    </row>
    <row r="107" spans="1:14" x14ac:dyDescent="0.3">
      <c r="A107">
        <v>206</v>
      </c>
      <c r="B107" t="s">
        <v>15</v>
      </c>
      <c r="C107">
        <v>28</v>
      </c>
      <c r="D107" t="s">
        <v>22</v>
      </c>
      <c r="E107" t="s">
        <v>13</v>
      </c>
      <c r="F107">
        <v>1490.1</v>
      </c>
      <c r="G107">
        <v>21</v>
      </c>
      <c r="H107">
        <v>4.9000000000000004</v>
      </c>
      <c r="I107" t="b">
        <v>0</v>
      </c>
      <c r="J107">
        <v>9</v>
      </c>
      <c r="K107" t="s">
        <v>14</v>
      </c>
      <c r="L107" t="str" cm="1">
        <f t="array" ref="L107">_xlfn.IFS(
J107&lt;=15,"Active",
J107&lt;=30,"Warm",
J107&gt;30,"Inactive"
)</f>
        <v>Active</v>
      </c>
      <c r="M107" t="str">
        <f t="shared" si="1"/>
        <v>High Value</v>
      </c>
      <c r="N107" t="str" cm="1">
        <f t="array" ref="N107">_xlfn.IFS(
C107&lt;=28,"25-28",
C107&lt;=32,"29-32",
C107&lt;=36,"33-36",
C107&lt;=40,"37-40",
C107&lt;=45,"41-45"
)</f>
        <v>25-28</v>
      </c>
    </row>
    <row r="108" spans="1:14" x14ac:dyDescent="0.3">
      <c r="A108">
        <v>207</v>
      </c>
      <c r="B108" t="s">
        <v>15</v>
      </c>
      <c r="C108">
        <v>32</v>
      </c>
      <c r="D108" t="s">
        <v>23</v>
      </c>
      <c r="E108" t="s">
        <v>17</v>
      </c>
      <c r="F108">
        <v>680.3</v>
      </c>
      <c r="G108">
        <v>10</v>
      </c>
      <c r="H108">
        <v>3.8</v>
      </c>
      <c r="I108" t="b">
        <v>1</v>
      </c>
      <c r="J108">
        <v>32</v>
      </c>
      <c r="K108" t="s">
        <v>21</v>
      </c>
      <c r="L108" t="str" cm="1">
        <f t="array" ref="L108">_xlfn.IFS(
J108&lt;=15,"Active",
J108&lt;=30,"Warm",
J108&gt;30,"Inactive"
)</f>
        <v>Inactive</v>
      </c>
      <c r="M108" t="str">
        <f t="shared" si="1"/>
        <v>Medium Value</v>
      </c>
      <c r="N108" t="str" cm="1">
        <f t="array" ref="N108">_xlfn.IFS(
C108&lt;=28,"25-28",
C108&lt;=32,"29-32",
C108&lt;=36,"33-36",
C108&lt;=40,"37-40",
C108&lt;=45,"41-45"
)</f>
        <v>29-32</v>
      </c>
    </row>
    <row r="109" spans="1:14" x14ac:dyDescent="0.3">
      <c r="A109">
        <v>208</v>
      </c>
      <c r="B109" t="s">
        <v>11</v>
      </c>
      <c r="C109">
        <v>36</v>
      </c>
      <c r="D109" t="s">
        <v>24</v>
      </c>
      <c r="E109" t="s">
        <v>20</v>
      </c>
      <c r="F109">
        <v>470.5</v>
      </c>
      <c r="G109">
        <v>8</v>
      </c>
      <c r="H109">
        <v>3</v>
      </c>
      <c r="I109" t="b">
        <v>0</v>
      </c>
      <c r="J109">
        <v>18</v>
      </c>
      <c r="K109" t="s">
        <v>18</v>
      </c>
      <c r="L109" t="str" cm="1">
        <f t="array" ref="L109">_xlfn.IFS(
J109&lt;=15,"Active",
J109&lt;=30,"Warm",
J109&gt;30,"Inactive"
)</f>
        <v>Warm</v>
      </c>
      <c r="M109" t="str">
        <f t="shared" si="1"/>
        <v>Low Value</v>
      </c>
      <c r="N109" t="str" cm="1">
        <f t="array" ref="N109">_xlfn.IFS(
C109&lt;=28,"25-28",
C109&lt;=32,"29-32",
C109&lt;=36,"33-36",
C109&lt;=40,"37-40",
C109&lt;=45,"41-45"
)</f>
        <v>33-36</v>
      </c>
    </row>
    <row r="110" spans="1:14" x14ac:dyDescent="0.3">
      <c r="A110">
        <v>209</v>
      </c>
      <c r="B110" t="s">
        <v>11</v>
      </c>
      <c r="C110">
        <v>30</v>
      </c>
      <c r="D110" t="s">
        <v>12</v>
      </c>
      <c r="E110" t="s">
        <v>13</v>
      </c>
      <c r="F110">
        <v>1180.8</v>
      </c>
      <c r="G110">
        <v>16</v>
      </c>
      <c r="H110">
        <v>4.7</v>
      </c>
      <c r="I110" t="b">
        <v>1</v>
      </c>
      <c r="J110">
        <v>19</v>
      </c>
      <c r="K110" t="s">
        <v>14</v>
      </c>
      <c r="L110" t="str" cm="1">
        <f t="array" ref="L110">_xlfn.IFS(
J110&lt;=15,"Active",
J110&lt;=30,"Warm",
J110&gt;30,"Inactive"
)</f>
        <v>Warm</v>
      </c>
      <c r="M110" t="str">
        <f t="shared" si="1"/>
        <v>High Value</v>
      </c>
      <c r="N110" t="str" cm="1">
        <f t="array" ref="N110">_xlfn.IFS(
C110&lt;=28,"25-28",
C110&lt;=32,"29-32",
C110&lt;=36,"33-36",
C110&lt;=40,"37-40",
C110&lt;=45,"41-45"
)</f>
        <v>29-32</v>
      </c>
    </row>
    <row r="111" spans="1:14" x14ac:dyDescent="0.3">
      <c r="A111">
        <v>210</v>
      </c>
      <c r="B111" t="s">
        <v>15</v>
      </c>
      <c r="C111">
        <v>34</v>
      </c>
      <c r="D111" t="s">
        <v>16</v>
      </c>
      <c r="E111" t="s">
        <v>17</v>
      </c>
      <c r="F111">
        <v>790.2</v>
      </c>
      <c r="G111">
        <v>11</v>
      </c>
      <c r="H111">
        <v>4</v>
      </c>
      <c r="I111" t="b">
        <v>0</v>
      </c>
      <c r="J111">
        <v>15</v>
      </c>
      <c r="K111" t="s">
        <v>18</v>
      </c>
      <c r="L111" t="str" cm="1">
        <f t="array" ref="L111">_xlfn.IFS(
J111&lt;=15,"Active",
J111&lt;=30,"Warm",
J111&gt;30,"Inactive"
)</f>
        <v>Active</v>
      </c>
      <c r="M111" t="str">
        <f t="shared" si="1"/>
        <v>Medium Value</v>
      </c>
      <c r="N111" t="str" cm="1">
        <f t="array" ref="N111">_xlfn.IFS(
C111&lt;=28,"25-28",
C111&lt;=32,"29-32",
C111&lt;=36,"33-36",
C111&lt;=40,"37-40",
C111&lt;=45,"41-45"
)</f>
        <v>33-36</v>
      </c>
    </row>
    <row r="112" spans="1:14" x14ac:dyDescent="0.3">
      <c r="A112">
        <v>211</v>
      </c>
      <c r="B112" t="s">
        <v>11</v>
      </c>
      <c r="C112">
        <v>43</v>
      </c>
      <c r="D112" t="s">
        <v>19</v>
      </c>
      <c r="E112" t="s">
        <v>20</v>
      </c>
      <c r="F112">
        <v>505.75</v>
      </c>
      <c r="G112">
        <v>10</v>
      </c>
      <c r="H112">
        <v>3.3</v>
      </c>
      <c r="I112" t="b">
        <v>1</v>
      </c>
      <c r="J112">
        <v>39</v>
      </c>
      <c r="K112" t="s">
        <v>21</v>
      </c>
      <c r="L112" t="str" cm="1">
        <f t="array" ref="L112">_xlfn.IFS(
J112&lt;=15,"Active",
J112&lt;=30,"Warm",
J112&gt;30,"Inactive"
)</f>
        <v>Inactive</v>
      </c>
      <c r="M112" t="str">
        <f t="shared" si="1"/>
        <v>Medium Value</v>
      </c>
      <c r="N112" t="str" cm="1">
        <f t="array" ref="N112">_xlfn.IFS(
C112&lt;=28,"25-28",
C112&lt;=32,"29-32",
C112&lt;=36,"33-36",
C112&lt;=40,"37-40",
C112&lt;=45,"41-45"
)</f>
        <v>41-45</v>
      </c>
    </row>
    <row r="113" spans="1:14" x14ac:dyDescent="0.3">
      <c r="A113">
        <v>212</v>
      </c>
      <c r="B113" t="s">
        <v>15</v>
      </c>
      <c r="C113">
        <v>30</v>
      </c>
      <c r="D113" t="s">
        <v>22</v>
      </c>
      <c r="E113" t="s">
        <v>13</v>
      </c>
      <c r="F113">
        <v>1470.5</v>
      </c>
      <c r="G113">
        <v>20</v>
      </c>
      <c r="H113">
        <v>4.8</v>
      </c>
      <c r="I113" t="b">
        <v>0</v>
      </c>
      <c r="J113">
        <v>13</v>
      </c>
      <c r="K113" t="s">
        <v>14</v>
      </c>
      <c r="L113" t="str" cm="1">
        <f t="array" ref="L113">_xlfn.IFS(
J113&lt;=15,"Active",
J113&lt;=30,"Warm",
J113&gt;30,"Inactive"
)</f>
        <v>Active</v>
      </c>
      <c r="M113" t="str">
        <f t="shared" si="1"/>
        <v>High Value</v>
      </c>
      <c r="N113" t="str" cm="1">
        <f t="array" ref="N113">_xlfn.IFS(
C113&lt;=28,"25-28",
C113&lt;=32,"29-32",
C113&lt;=36,"33-36",
C113&lt;=40,"37-40",
C113&lt;=45,"41-45"
)</f>
        <v>29-32</v>
      </c>
    </row>
    <row r="114" spans="1:14" x14ac:dyDescent="0.3">
      <c r="A114">
        <v>213</v>
      </c>
      <c r="B114" t="s">
        <v>15</v>
      </c>
      <c r="C114">
        <v>27</v>
      </c>
      <c r="D114" t="s">
        <v>23</v>
      </c>
      <c r="E114" t="s">
        <v>17</v>
      </c>
      <c r="F114">
        <v>710.4</v>
      </c>
      <c r="G114">
        <v>13</v>
      </c>
      <c r="H114">
        <v>4.0999999999999996</v>
      </c>
      <c r="I114" t="b">
        <v>1</v>
      </c>
      <c r="J114">
        <v>54</v>
      </c>
      <c r="K114" t="s">
        <v>21</v>
      </c>
      <c r="L114" t="str" cm="1">
        <f t="array" ref="L114">_xlfn.IFS(
J114&lt;=15,"Active",
J114&lt;=30,"Warm",
J114&gt;30,"Inactive"
)</f>
        <v>Inactive</v>
      </c>
      <c r="M114" t="str">
        <f t="shared" si="1"/>
        <v>Medium Value</v>
      </c>
      <c r="N114" t="str" cm="1">
        <f t="array" ref="N114">_xlfn.IFS(
C114&lt;=28,"25-28",
C114&lt;=32,"29-32",
C114&lt;=36,"33-36",
C114&lt;=40,"37-40",
C114&lt;=45,"41-45"
)</f>
        <v>25-28</v>
      </c>
    </row>
    <row r="115" spans="1:14" x14ac:dyDescent="0.3">
      <c r="A115">
        <v>214</v>
      </c>
      <c r="B115" t="s">
        <v>11</v>
      </c>
      <c r="C115">
        <v>37</v>
      </c>
      <c r="D115" t="s">
        <v>24</v>
      </c>
      <c r="E115" t="s">
        <v>20</v>
      </c>
      <c r="F115">
        <v>430.8</v>
      </c>
      <c r="G115">
        <v>7</v>
      </c>
      <c r="H115">
        <v>3.4</v>
      </c>
      <c r="I115" t="b">
        <v>0</v>
      </c>
      <c r="J115">
        <v>23</v>
      </c>
      <c r="K115" t="s">
        <v>18</v>
      </c>
      <c r="L115" t="str" cm="1">
        <f t="array" ref="L115">_xlfn.IFS(
J115&lt;=15,"Active",
J115&lt;=30,"Warm",
J115&gt;30,"Inactive"
)</f>
        <v>Warm</v>
      </c>
      <c r="M115" t="str">
        <f t="shared" si="1"/>
        <v>Low Value</v>
      </c>
      <c r="N115" t="str" cm="1">
        <f t="array" ref="N115">_xlfn.IFS(
C115&lt;=28,"25-28",
C115&lt;=32,"29-32",
C115&lt;=36,"33-36",
C115&lt;=40,"37-40",
C115&lt;=45,"41-45"
)</f>
        <v>37-40</v>
      </c>
    </row>
    <row r="116" spans="1:14" x14ac:dyDescent="0.3">
      <c r="A116">
        <v>215</v>
      </c>
      <c r="B116" t="s">
        <v>11</v>
      </c>
      <c r="C116">
        <v>31</v>
      </c>
      <c r="D116" t="s">
        <v>12</v>
      </c>
      <c r="E116" t="s">
        <v>13</v>
      </c>
      <c r="F116">
        <v>1140.5999999999999</v>
      </c>
      <c r="G116">
        <v>15</v>
      </c>
      <c r="H116">
        <v>4.5999999999999996</v>
      </c>
      <c r="I116" t="b">
        <v>1</v>
      </c>
      <c r="J116">
        <v>27</v>
      </c>
      <c r="K116" t="s">
        <v>14</v>
      </c>
      <c r="L116" t="str" cm="1">
        <f t="array" ref="L116">_xlfn.IFS(
J116&lt;=15,"Active",
J116&lt;=30,"Warm",
J116&gt;30,"Inactive"
)</f>
        <v>Warm</v>
      </c>
      <c r="M116" t="str">
        <f t="shared" si="1"/>
        <v>High Value</v>
      </c>
      <c r="N116" t="str" cm="1">
        <f t="array" ref="N116">_xlfn.IFS(
C116&lt;=28,"25-28",
C116&lt;=32,"29-32",
C116&lt;=36,"33-36",
C116&lt;=40,"37-40",
C116&lt;=45,"41-45"
)</f>
        <v>29-32</v>
      </c>
    </row>
    <row r="117" spans="1:14" x14ac:dyDescent="0.3">
      <c r="A117">
        <v>216</v>
      </c>
      <c r="B117" t="s">
        <v>15</v>
      </c>
      <c r="C117">
        <v>35</v>
      </c>
      <c r="D117" t="s">
        <v>16</v>
      </c>
      <c r="E117" t="s">
        <v>17</v>
      </c>
      <c r="F117">
        <v>810.9</v>
      </c>
      <c r="G117">
        <v>12</v>
      </c>
      <c r="H117">
        <v>4.3</v>
      </c>
      <c r="I117" t="b">
        <v>0</v>
      </c>
      <c r="J117">
        <v>13</v>
      </c>
      <c r="K117" t="s">
        <v>18</v>
      </c>
      <c r="L117" t="str" cm="1">
        <f t="array" ref="L117">_xlfn.IFS(
J117&lt;=15,"Active",
J117&lt;=30,"Warm",
J117&gt;30,"Inactive"
)</f>
        <v>Active</v>
      </c>
      <c r="M117" t="str">
        <f t="shared" si="1"/>
        <v>Medium Value</v>
      </c>
      <c r="N117" t="str" cm="1">
        <f t="array" ref="N117">_xlfn.IFS(
C117&lt;=28,"25-28",
C117&lt;=32,"29-32",
C117&lt;=36,"33-36",
C117&lt;=40,"37-40",
C117&lt;=45,"41-45"
)</f>
        <v>33-36</v>
      </c>
    </row>
    <row r="118" spans="1:14" x14ac:dyDescent="0.3">
      <c r="A118">
        <v>217</v>
      </c>
      <c r="B118" t="s">
        <v>11</v>
      </c>
      <c r="C118">
        <v>41</v>
      </c>
      <c r="D118" t="s">
        <v>19</v>
      </c>
      <c r="E118" t="s">
        <v>20</v>
      </c>
      <c r="F118">
        <v>485.25</v>
      </c>
      <c r="G118">
        <v>9</v>
      </c>
      <c r="H118">
        <v>3.6</v>
      </c>
      <c r="I118" t="b">
        <v>1</v>
      </c>
      <c r="J118">
        <v>39</v>
      </c>
      <c r="K118" t="s">
        <v>21</v>
      </c>
      <c r="L118" t="str" cm="1">
        <f t="array" ref="L118">_xlfn.IFS(
J118&lt;=15,"Active",
J118&lt;=30,"Warm",
J118&gt;30,"Inactive"
)</f>
        <v>Inactive</v>
      </c>
      <c r="M118" t="str">
        <f t="shared" si="1"/>
        <v>Low Value</v>
      </c>
      <c r="N118" t="str" cm="1">
        <f t="array" ref="N118">_xlfn.IFS(
C118&lt;=28,"25-28",
C118&lt;=32,"29-32",
C118&lt;=36,"33-36",
C118&lt;=40,"37-40",
C118&lt;=45,"41-45"
)</f>
        <v>41-45</v>
      </c>
    </row>
    <row r="119" spans="1:14" x14ac:dyDescent="0.3">
      <c r="A119">
        <v>218</v>
      </c>
      <c r="B119" t="s">
        <v>15</v>
      </c>
      <c r="C119">
        <v>28</v>
      </c>
      <c r="D119" t="s">
        <v>22</v>
      </c>
      <c r="E119" t="s">
        <v>13</v>
      </c>
      <c r="F119">
        <v>1500.1</v>
      </c>
      <c r="G119">
        <v>21</v>
      </c>
      <c r="H119">
        <v>4.9000000000000004</v>
      </c>
      <c r="I119" t="b">
        <v>0</v>
      </c>
      <c r="J119">
        <v>10</v>
      </c>
      <c r="K119" t="s">
        <v>14</v>
      </c>
      <c r="L119" t="str" cm="1">
        <f t="array" ref="L119">_xlfn.IFS(
J119&lt;=15,"Active",
J119&lt;=30,"Warm",
J119&gt;30,"Inactive"
)</f>
        <v>Active</v>
      </c>
      <c r="M119" t="str">
        <f t="shared" si="1"/>
        <v>High Value</v>
      </c>
      <c r="N119" t="str" cm="1">
        <f t="array" ref="N119">_xlfn.IFS(
C119&lt;=28,"25-28",
C119&lt;=32,"29-32",
C119&lt;=36,"33-36",
C119&lt;=40,"37-40",
C119&lt;=45,"41-45"
)</f>
        <v>25-28</v>
      </c>
    </row>
    <row r="120" spans="1:14" x14ac:dyDescent="0.3">
      <c r="A120">
        <v>219</v>
      </c>
      <c r="B120" t="s">
        <v>15</v>
      </c>
      <c r="C120">
        <v>32</v>
      </c>
      <c r="D120" t="s">
        <v>23</v>
      </c>
      <c r="E120" t="s">
        <v>17</v>
      </c>
      <c r="F120">
        <v>670.3</v>
      </c>
      <c r="G120">
        <v>10</v>
      </c>
      <c r="H120">
        <v>3.8</v>
      </c>
      <c r="I120" t="b">
        <v>1</v>
      </c>
      <c r="J120">
        <v>33</v>
      </c>
      <c r="K120" t="s">
        <v>21</v>
      </c>
      <c r="L120" t="str" cm="1">
        <f t="array" ref="L120">_xlfn.IFS(
J120&lt;=15,"Active",
J120&lt;=30,"Warm",
J120&gt;30,"Inactive"
)</f>
        <v>Inactive</v>
      </c>
      <c r="M120" t="str">
        <f t="shared" si="1"/>
        <v>Medium Value</v>
      </c>
      <c r="N120" t="str" cm="1">
        <f t="array" ref="N120">_xlfn.IFS(
C120&lt;=28,"25-28",
C120&lt;=32,"29-32",
C120&lt;=36,"33-36",
C120&lt;=40,"37-40",
C120&lt;=45,"41-45"
)</f>
        <v>29-32</v>
      </c>
    </row>
    <row r="121" spans="1:14" x14ac:dyDescent="0.3">
      <c r="A121">
        <v>220</v>
      </c>
      <c r="B121" t="s">
        <v>11</v>
      </c>
      <c r="C121">
        <v>36</v>
      </c>
      <c r="D121" t="s">
        <v>24</v>
      </c>
      <c r="E121" t="s">
        <v>20</v>
      </c>
      <c r="F121">
        <v>460.5</v>
      </c>
      <c r="G121">
        <v>8</v>
      </c>
      <c r="H121">
        <v>3.1</v>
      </c>
      <c r="I121" t="b">
        <v>0</v>
      </c>
      <c r="J121">
        <v>19</v>
      </c>
      <c r="K121" t="s">
        <v>18</v>
      </c>
      <c r="L121" t="str" cm="1">
        <f t="array" ref="L121">_xlfn.IFS(
J121&lt;=15,"Active",
J121&lt;=30,"Warm",
J121&gt;30,"Inactive"
)</f>
        <v>Warm</v>
      </c>
      <c r="M121" t="str">
        <f t="shared" si="1"/>
        <v>Low Value</v>
      </c>
      <c r="N121" t="str" cm="1">
        <f t="array" ref="N121">_xlfn.IFS(
C121&lt;=28,"25-28",
C121&lt;=32,"29-32",
C121&lt;=36,"33-36",
C121&lt;=40,"37-40",
C121&lt;=45,"41-45"
)</f>
        <v>33-36</v>
      </c>
    </row>
    <row r="122" spans="1:14" x14ac:dyDescent="0.3">
      <c r="A122">
        <v>221</v>
      </c>
      <c r="B122" t="s">
        <v>11</v>
      </c>
      <c r="C122">
        <v>30</v>
      </c>
      <c r="D122" t="s">
        <v>12</v>
      </c>
      <c r="E122" t="s">
        <v>13</v>
      </c>
      <c r="F122">
        <v>1190.8</v>
      </c>
      <c r="G122">
        <v>16</v>
      </c>
      <c r="H122">
        <v>4.5</v>
      </c>
      <c r="I122" t="b">
        <v>1</v>
      </c>
      <c r="J122">
        <v>20</v>
      </c>
      <c r="K122" t="s">
        <v>14</v>
      </c>
      <c r="L122" t="str" cm="1">
        <f t="array" ref="L122">_xlfn.IFS(
J122&lt;=15,"Active",
J122&lt;=30,"Warm",
J122&gt;30,"Inactive"
)</f>
        <v>Warm</v>
      </c>
      <c r="M122" t="str">
        <f t="shared" si="1"/>
        <v>High Value</v>
      </c>
      <c r="N122" t="str" cm="1">
        <f t="array" ref="N122">_xlfn.IFS(
C122&lt;=28,"25-28",
C122&lt;=32,"29-32",
C122&lt;=36,"33-36",
C122&lt;=40,"37-40",
C122&lt;=45,"41-45"
)</f>
        <v>29-32</v>
      </c>
    </row>
    <row r="123" spans="1:14" x14ac:dyDescent="0.3">
      <c r="A123">
        <v>222</v>
      </c>
      <c r="B123" t="s">
        <v>15</v>
      </c>
      <c r="C123">
        <v>33</v>
      </c>
      <c r="D123" t="s">
        <v>16</v>
      </c>
      <c r="E123" t="s">
        <v>17</v>
      </c>
      <c r="F123">
        <v>830.75</v>
      </c>
      <c r="G123">
        <v>13</v>
      </c>
      <c r="H123">
        <v>4.2</v>
      </c>
      <c r="I123" t="b">
        <v>0</v>
      </c>
      <c r="J123">
        <v>14</v>
      </c>
      <c r="K123" t="s">
        <v>14</v>
      </c>
      <c r="L123" t="str" cm="1">
        <f t="array" ref="L123">_xlfn.IFS(
J123&lt;=15,"Active",
J123&lt;=30,"Warm",
J123&gt;30,"Inactive"
)</f>
        <v>Active</v>
      </c>
      <c r="M123" t="str">
        <f t="shared" si="1"/>
        <v>Medium Value</v>
      </c>
      <c r="N123" t="str" cm="1">
        <f t="array" ref="N123">_xlfn.IFS(
C123&lt;=28,"25-28",
C123&lt;=32,"29-32",
C123&lt;=36,"33-36",
C123&lt;=40,"37-40",
C123&lt;=45,"41-45"
)</f>
        <v>33-36</v>
      </c>
    </row>
    <row r="124" spans="1:14" x14ac:dyDescent="0.3">
      <c r="A124">
        <v>223</v>
      </c>
      <c r="B124" t="s">
        <v>11</v>
      </c>
      <c r="C124">
        <v>42</v>
      </c>
      <c r="D124" t="s">
        <v>19</v>
      </c>
      <c r="E124" t="s">
        <v>20</v>
      </c>
      <c r="F124">
        <v>520.4</v>
      </c>
      <c r="G124">
        <v>9</v>
      </c>
      <c r="H124">
        <v>3.5</v>
      </c>
      <c r="I124" t="b">
        <v>1</v>
      </c>
      <c r="J124">
        <v>37</v>
      </c>
      <c r="K124" t="s">
        <v>21</v>
      </c>
      <c r="L124" t="str" cm="1">
        <f t="array" ref="L124">_xlfn.IFS(
J124&lt;=15,"Active",
J124&lt;=30,"Warm",
J124&gt;30,"Inactive"
)</f>
        <v>Inactive</v>
      </c>
      <c r="M124" t="str">
        <f t="shared" si="1"/>
        <v>Medium Value</v>
      </c>
      <c r="N124" t="str" cm="1">
        <f t="array" ref="N124">_xlfn.IFS(
C124&lt;=28,"25-28",
C124&lt;=32,"29-32",
C124&lt;=36,"33-36",
C124&lt;=40,"37-40",
C124&lt;=45,"41-45"
)</f>
        <v>41-45</v>
      </c>
    </row>
    <row r="125" spans="1:14" x14ac:dyDescent="0.3">
      <c r="A125">
        <v>224</v>
      </c>
      <c r="B125" t="s">
        <v>15</v>
      </c>
      <c r="C125">
        <v>29</v>
      </c>
      <c r="D125" t="s">
        <v>22</v>
      </c>
      <c r="E125" t="s">
        <v>13</v>
      </c>
      <c r="F125">
        <v>1370.2</v>
      </c>
      <c r="G125">
        <v>18</v>
      </c>
      <c r="H125">
        <v>4.7</v>
      </c>
      <c r="I125" t="b">
        <v>0</v>
      </c>
      <c r="J125">
        <v>10</v>
      </c>
      <c r="K125" t="s">
        <v>14</v>
      </c>
      <c r="L125" t="str" cm="1">
        <f t="array" ref="L125">_xlfn.IFS(
J125&lt;=15,"Active",
J125&lt;=30,"Warm",
J125&gt;30,"Inactive"
)</f>
        <v>Active</v>
      </c>
      <c r="M125" t="str">
        <f t="shared" si="1"/>
        <v>High Value</v>
      </c>
      <c r="N125" t="str" cm="1">
        <f t="array" ref="N125">_xlfn.IFS(
C125&lt;=28,"25-28",
C125&lt;=32,"29-32",
C125&lt;=36,"33-36",
C125&lt;=40,"37-40",
C125&lt;=45,"41-45"
)</f>
        <v>29-32</v>
      </c>
    </row>
    <row r="126" spans="1:14" x14ac:dyDescent="0.3">
      <c r="A126">
        <v>225</v>
      </c>
      <c r="B126" t="s">
        <v>15</v>
      </c>
      <c r="C126">
        <v>26</v>
      </c>
      <c r="D126" t="s">
        <v>23</v>
      </c>
      <c r="E126" t="s">
        <v>17</v>
      </c>
      <c r="F126">
        <v>690.6</v>
      </c>
      <c r="G126">
        <v>12</v>
      </c>
      <c r="H126">
        <v>3.9</v>
      </c>
      <c r="I126" t="b">
        <v>1</v>
      </c>
      <c r="J126">
        <v>47</v>
      </c>
      <c r="K126" t="s">
        <v>21</v>
      </c>
      <c r="L126" t="str" cm="1">
        <f t="array" ref="L126">_xlfn.IFS(
J126&lt;=15,"Active",
J126&lt;=30,"Warm",
J126&gt;30,"Inactive"
)</f>
        <v>Inactive</v>
      </c>
      <c r="M126" t="str">
        <f t="shared" si="1"/>
        <v>Medium Value</v>
      </c>
      <c r="N126" t="str" cm="1">
        <f t="array" ref="N126">_xlfn.IFS(
C126&lt;=28,"25-28",
C126&lt;=32,"29-32",
C126&lt;=36,"33-36",
C126&lt;=40,"37-40",
C126&lt;=45,"41-45"
)</f>
        <v>25-28</v>
      </c>
    </row>
    <row r="127" spans="1:14" x14ac:dyDescent="0.3">
      <c r="A127">
        <v>226</v>
      </c>
      <c r="B127" t="s">
        <v>11</v>
      </c>
      <c r="C127">
        <v>38</v>
      </c>
      <c r="D127" t="s">
        <v>24</v>
      </c>
      <c r="E127" t="s">
        <v>20</v>
      </c>
      <c r="F127">
        <v>440.9</v>
      </c>
      <c r="G127">
        <v>8</v>
      </c>
      <c r="H127">
        <v>3.2</v>
      </c>
      <c r="I127" t="b">
        <v>0</v>
      </c>
      <c r="J127">
        <v>24</v>
      </c>
      <c r="K127" t="s">
        <v>18</v>
      </c>
      <c r="L127" t="str" cm="1">
        <f t="array" ref="L127">_xlfn.IFS(
J127&lt;=15,"Active",
J127&lt;=30,"Warm",
J127&gt;30,"Inactive"
)</f>
        <v>Warm</v>
      </c>
      <c r="M127" t="str">
        <f t="shared" si="1"/>
        <v>Low Value</v>
      </c>
      <c r="N127" t="str" cm="1">
        <f t="array" ref="N127">_xlfn.IFS(
C127&lt;=28,"25-28",
C127&lt;=32,"29-32",
C127&lt;=36,"33-36",
C127&lt;=40,"37-40",
C127&lt;=45,"41-45"
)</f>
        <v>37-40</v>
      </c>
    </row>
    <row r="128" spans="1:14" x14ac:dyDescent="0.3">
      <c r="A128">
        <v>227</v>
      </c>
      <c r="B128" t="s">
        <v>11</v>
      </c>
      <c r="C128">
        <v>32</v>
      </c>
      <c r="D128" t="s">
        <v>12</v>
      </c>
      <c r="E128" t="s">
        <v>13</v>
      </c>
      <c r="F128">
        <v>1160.3</v>
      </c>
      <c r="G128">
        <v>14</v>
      </c>
      <c r="H128">
        <v>4.4000000000000004</v>
      </c>
      <c r="I128" t="b">
        <v>1</v>
      </c>
      <c r="J128">
        <v>22</v>
      </c>
      <c r="K128" t="s">
        <v>14</v>
      </c>
      <c r="L128" t="str" cm="1">
        <f t="array" ref="L128">_xlfn.IFS(
J128&lt;=15,"Active",
J128&lt;=30,"Warm",
J128&gt;30,"Inactive"
)</f>
        <v>Warm</v>
      </c>
      <c r="M128" t="str">
        <f t="shared" si="1"/>
        <v>High Value</v>
      </c>
      <c r="N128" t="str" cm="1">
        <f t="array" ref="N128">_xlfn.IFS(
C128&lt;=28,"25-28",
C128&lt;=32,"29-32",
C128&lt;=36,"33-36",
C128&lt;=40,"37-40",
C128&lt;=45,"41-45"
)</f>
        <v>29-32</v>
      </c>
    </row>
    <row r="129" spans="1:14" x14ac:dyDescent="0.3">
      <c r="A129">
        <v>228</v>
      </c>
      <c r="B129" t="s">
        <v>15</v>
      </c>
      <c r="C129">
        <v>34</v>
      </c>
      <c r="D129" t="s">
        <v>16</v>
      </c>
      <c r="E129" t="s">
        <v>17</v>
      </c>
      <c r="F129">
        <v>800.2</v>
      </c>
      <c r="G129">
        <v>11</v>
      </c>
      <c r="H129">
        <v>4.0999999999999996</v>
      </c>
      <c r="I129" t="b">
        <v>0</v>
      </c>
      <c r="J129">
        <v>17</v>
      </c>
      <c r="K129" t="s">
        <v>18</v>
      </c>
      <c r="L129" t="str" cm="1">
        <f t="array" ref="L129">_xlfn.IFS(
J129&lt;=15,"Active",
J129&lt;=30,"Warm",
J129&gt;30,"Inactive"
)</f>
        <v>Warm</v>
      </c>
      <c r="M129" t="str">
        <f t="shared" si="1"/>
        <v>Medium Value</v>
      </c>
      <c r="N129" t="str" cm="1">
        <f t="array" ref="N129">_xlfn.IFS(
C129&lt;=28,"25-28",
C129&lt;=32,"29-32",
C129&lt;=36,"33-36",
C129&lt;=40,"37-40",
C129&lt;=45,"41-45"
)</f>
        <v>33-36</v>
      </c>
    </row>
    <row r="130" spans="1:14" x14ac:dyDescent="0.3">
      <c r="A130">
        <v>229</v>
      </c>
      <c r="B130" t="s">
        <v>11</v>
      </c>
      <c r="C130">
        <v>43</v>
      </c>
      <c r="D130" t="s">
        <v>19</v>
      </c>
      <c r="E130" t="s">
        <v>20</v>
      </c>
      <c r="F130">
        <v>500.75</v>
      </c>
      <c r="G130">
        <v>10</v>
      </c>
      <c r="H130">
        <v>3.3</v>
      </c>
      <c r="I130" t="b">
        <v>1</v>
      </c>
      <c r="J130">
        <v>40</v>
      </c>
      <c r="K130" t="s">
        <v>21</v>
      </c>
      <c r="L130" t="str" cm="1">
        <f t="array" ref="L130">_xlfn.IFS(
J130&lt;=15,"Active",
J130&lt;=30,"Warm",
J130&gt;30,"Inactive"
)</f>
        <v>Inactive</v>
      </c>
      <c r="M130" t="str">
        <f t="shared" ref="M130:M193" si="2">IF(F130&gt;1000,"High Value",
IF(F130&gt;500,"Medium Value","Low Value"))</f>
        <v>Medium Value</v>
      </c>
      <c r="N130" t="str" cm="1">
        <f t="array" ref="N130">_xlfn.IFS(
C130&lt;=28,"25-28",
C130&lt;=32,"29-32",
C130&lt;=36,"33-36",
C130&lt;=40,"37-40",
C130&lt;=45,"41-45"
)</f>
        <v>41-45</v>
      </c>
    </row>
    <row r="131" spans="1:14" x14ac:dyDescent="0.3">
      <c r="A131">
        <v>230</v>
      </c>
      <c r="B131" t="s">
        <v>15</v>
      </c>
      <c r="C131">
        <v>30</v>
      </c>
      <c r="D131" t="s">
        <v>22</v>
      </c>
      <c r="E131" t="s">
        <v>13</v>
      </c>
      <c r="F131">
        <v>1460.5</v>
      </c>
      <c r="G131">
        <v>20</v>
      </c>
      <c r="H131">
        <v>4.8</v>
      </c>
      <c r="I131" t="b">
        <v>0</v>
      </c>
      <c r="J131">
        <v>12</v>
      </c>
      <c r="K131" t="s">
        <v>14</v>
      </c>
      <c r="L131" t="str" cm="1">
        <f t="array" ref="L131">_xlfn.IFS(
J131&lt;=15,"Active",
J131&lt;=30,"Warm",
J131&gt;30,"Inactive"
)</f>
        <v>Active</v>
      </c>
      <c r="M131" t="str">
        <f t="shared" si="2"/>
        <v>High Value</v>
      </c>
      <c r="N131" t="str" cm="1">
        <f t="array" ref="N131">_xlfn.IFS(
C131&lt;=28,"25-28",
C131&lt;=32,"29-32",
C131&lt;=36,"33-36",
C131&lt;=40,"37-40",
C131&lt;=45,"41-45"
)</f>
        <v>29-32</v>
      </c>
    </row>
    <row r="132" spans="1:14" x14ac:dyDescent="0.3">
      <c r="A132">
        <v>231</v>
      </c>
      <c r="B132" t="s">
        <v>15</v>
      </c>
      <c r="C132">
        <v>27</v>
      </c>
      <c r="D132" t="s">
        <v>23</v>
      </c>
      <c r="E132" t="s">
        <v>17</v>
      </c>
      <c r="F132">
        <v>700.4</v>
      </c>
      <c r="G132">
        <v>13</v>
      </c>
      <c r="H132">
        <v>4</v>
      </c>
      <c r="I132" t="b">
        <v>1</v>
      </c>
      <c r="J132">
        <v>53</v>
      </c>
      <c r="K132" t="s">
        <v>21</v>
      </c>
      <c r="L132" t="str" cm="1">
        <f t="array" ref="L132">_xlfn.IFS(
J132&lt;=15,"Active",
J132&lt;=30,"Warm",
J132&gt;30,"Inactive"
)</f>
        <v>Inactive</v>
      </c>
      <c r="M132" t="str">
        <f t="shared" si="2"/>
        <v>Medium Value</v>
      </c>
      <c r="N132" t="str" cm="1">
        <f t="array" ref="N132">_xlfn.IFS(
C132&lt;=28,"25-28",
C132&lt;=32,"29-32",
C132&lt;=36,"33-36",
C132&lt;=40,"37-40",
C132&lt;=45,"41-45"
)</f>
        <v>25-28</v>
      </c>
    </row>
    <row r="133" spans="1:14" x14ac:dyDescent="0.3">
      <c r="A133">
        <v>232</v>
      </c>
      <c r="B133" t="s">
        <v>11</v>
      </c>
      <c r="C133">
        <v>37</v>
      </c>
      <c r="D133" t="s">
        <v>24</v>
      </c>
      <c r="E133" t="s">
        <v>20</v>
      </c>
      <c r="F133">
        <v>420.8</v>
      </c>
      <c r="G133">
        <v>7</v>
      </c>
      <c r="H133">
        <v>3.1</v>
      </c>
      <c r="I133" t="b">
        <v>0</v>
      </c>
      <c r="J133">
        <v>21</v>
      </c>
      <c r="K133" t="s">
        <v>18</v>
      </c>
      <c r="L133" t="str" cm="1">
        <f t="array" ref="L133">_xlfn.IFS(
J133&lt;=15,"Active",
J133&lt;=30,"Warm",
J133&gt;30,"Inactive"
)</f>
        <v>Warm</v>
      </c>
      <c r="M133" t="str">
        <f t="shared" si="2"/>
        <v>Low Value</v>
      </c>
      <c r="N133" t="str" cm="1">
        <f t="array" ref="N133">_xlfn.IFS(
C133&lt;=28,"25-28",
C133&lt;=32,"29-32",
C133&lt;=36,"33-36",
C133&lt;=40,"37-40",
C133&lt;=45,"41-45"
)</f>
        <v>37-40</v>
      </c>
    </row>
    <row r="134" spans="1:14" x14ac:dyDescent="0.3">
      <c r="A134">
        <v>233</v>
      </c>
      <c r="B134" t="s">
        <v>11</v>
      </c>
      <c r="C134">
        <v>31</v>
      </c>
      <c r="D134" t="s">
        <v>12</v>
      </c>
      <c r="E134" t="s">
        <v>13</v>
      </c>
      <c r="F134">
        <v>1130.5999999999999</v>
      </c>
      <c r="G134">
        <v>15</v>
      </c>
      <c r="H134">
        <v>4.5</v>
      </c>
      <c r="I134" t="b">
        <v>1</v>
      </c>
      <c r="J134">
        <v>26</v>
      </c>
      <c r="K134" t="s">
        <v>14</v>
      </c>
      <c r="L134" t="str" cm="1">
        <f t="array" ref="L134">_xlfn.IFS(
J134&lt;=15,"Active",
J134&lt;=30,"Warm",
J134&gt;30,"Inactive"
)</f>
        <v>Warm</v>
      </c>
      <c r="M134" t="str">
        <f t="shared" si="2"/>
        <v>High Value</v>
      </c>
      <c r="N134" t="str" cm="1">
        <f t="array" ref="N134">_xlfn.IFS(
C134&lt;=28,"25-28",
C134&lt;=32,"29-32",
C134&lt;=36,"33-36",
C134&lt;=40,"37-40",
C134&lt;=45,"41-45"
)</f>
        <v>29-32</v>
      </c>
    </row>
    <row r="135" spans="1:14" x14ac:dyDescent="0.3">
      <c r="A135">
        <v>234</v>
      </c>
      <c r="B135" t="s">
        <v>15</v>
      </c>
      <c r="C135">
        <v>35</v>
      </c>
      <c r="D135" t="s">
        <v>16</v>
      </c>
      <c r="E135" t="s">
        <v>17</v>
      </c>
      <c r="F135">
        <v>820.9</v>
      </c>
      <c r="G135">
        <v>12</v>
      </c>
      <c r="H135">
        <v>4.3</v>
      </c>
      <c r="I135" t="b">
        <v>0</v>
      </c>
      <c r="J135">
        <v>12</v>
      </c>
      <c r="K135" t="s">
        <v>18</v>
      </c>
      <c r="L135" t="str" cm="1">
        <f t="array" ref="L135">_xlfn.IFS(
J135&lt;=15,"Active",
J135&lt;=30,"Warm",
J135&gt;30,"Inactive"
)</f>
        <v>Active</v>
      </c>
      <c r="M135" t="str">
        <f t="shared" si="2"/>
        <v>Medium Value</v>
      </c>
      <c r="N135" t="str" cm="1">
        <f t="array" ref="N135">_xlfn.IFS(
C135&lt;=28,"25-28",
C135&lt;=32,"29-32",
C135&lt;=36,"33-36",
C135&lt;=40,"37-40",
C135&lt;=45,"41-45"
)</f>
        <v>33-36</v>
      </c>
    </row>
    <row r="136" spans="1:14" x14ac:dyDescent="0.3">
      <c r="A136">
        <v>235</v>
      </c>
      <c r="B136" t="s">
        <v>11</v>
      </c>
      <c r="C136">
        <v>41</v>
      </c>
      <c r="D136" t="s">
        <v>19</v>
      </c>
      <c r="E136" t="s">
        <v>20</v>
      </c>
      <c r="F136">
        <v>480.25</v>
      </c>
      <c r="G136">
        <v>9</v>
      </c>
      <c r="H136">
        <v>3.6</v>
      </c>
      <c r="I136" t="b">
        <v>1</v>
      </c>
      <c r="J136">
        <v>38</v>
      </c>
      <c r="K136" t="s">
        <v>21</v>
      </c>
      <c r="L136" t="str" cm="1">
        <f t="array" ref="L136">_xlfn.IFS(
J136&lt;=15,"Active",
J136&lt;=30,"Warm",
J136&gt;30,"Inactive"
)</f>
        <v>Inactive</v>
      </c>
      <c r="M136" t="str">
        <f t="shared" si="2"/>
        <v>Low Value</v>
      </c>
      <c r="N136" t="str" cm="1">
        <f t="array" ref="N136">_xlfn.IFS(
C136&lt;=28,"25-28",
C136&lt;=32,"29-32",
C136&lt;=36,"33-36",
C136&lt;=40,"37-40",
C136&lt;=45,"41-45"
)</f>
        <v>41-45</v>
      </c>
    </row>
    <row r="137" spans="1:14" x14ac:dyDescent="0.3">
      <c r="A137">
        <v>236</v>
      </c>
      <c r="B137" t="s">
        <v>15</v>
      </c>
      <c r="C137">
        <v>28</v>
      </c>
      <c r="D137" t="s">
        <v>22</v>
      </c>
      <c r="E137" t="s">
        <v>13</v>
      </c>
      <c r="F137">
        <v>1490.1</v>
      </c>
      <c r="G137">
        <v>21</v>
      </c>
      <c r="H137">
        <v>4.9000000000000004</v>
      </c>
      <c r="I137" t="b">
        <v>0</v>
      </c>
      <c r="J137">
        <v>9</v>
      </c>
      <c r="K137" t="s">
        <v>14</v>
      </c>
      <c r="L137" t="str" cm="1">
        <f t="array" ref="L137">_xlfn.IFS(
J137&lt;=15,"Active",
J137&lt;=30,"Warm",
J137&gt;30,"Inactive"
)</f>
        <v>Active</v>
      </c>
      <c r="M137" t="str">
        <f t="shared" si="2"/>
        <v>High Value</v>
      </c>
      <c r="N137" t="str" cm="1">
        <f t="array" ref="N137">_xlfn.IFS(
C137&lt;=28,"25-28",
C137&lt;=32,"29-32",
C137&lt;=36,"33-36",
C137&lt;=40,"37-40",
C137&lt;=45,"41-45"
)</f>
        <v>25-28</v>
      </c>
    </row>
    <row r="138" spans="1:14" x14ac:dyDescent="0.3">
      <c r="A138">
        <v>237</v>
      </c>
      <c r="B138" t="s">
        <v>15</v>
      </c>
      <c r="C138">
        <v>32</v>
      </c>
      <c r="D138" t="s">
        <v>23</v>
      </c>
      <c r="E138" t="s">
        <v>17</v>
      </c>
      <c r="F138">
        <v>680.3</v>
      </c>
      <c r="G138">
        <v>10</v>
      </c>
      <c r="H138">
        <v>3.8</v>
      </c>
      <c r="I138" t="b">
        <v>1</v>
      </c>
      <c r="J138">
        <v>32</v>
      </c>
      <c r="K138" t="s">
        <v>21</v>
      </c>
      <c r="L138" t="str" cm="1">
        <f t="array" ref="L138">_xlfn.IFS(
J138&lt;=15,"Active",
J138&lt;=30,"Warm",
J138&gt;30,"Inactive"
)</f>
        <v>Inactive</v>
      </c>
      <c r="M138" t="str">
        <f t="shared" si="2"/>
        <v>Medium Value</v>
      </c>
      <c r="N138" t="str" cm="1">
        <f t="array" ref="N138">_xlfn.IFS(
C138&lt;=28,"25-28",
C138&lt;=32,"29-32",
C138&lt;=36,"33-36",
C138&lt;=40,"37-40",
C138&lt;=45,"41-45"
)</f>
        <v>29-32</v>
      </c>
    </row>
    <row r="139" spans="1:14" x14ac:dyDescent="0.3">
      <c r="A139">
        <v>238</v>
      </c>
      <c r="B139" t="s">
        <v>11</v>
      </c>
      <c r="C139">
        <v>36</v>
      </c>
      <c r="D139" t="s">
        <v>24</v>
      </c>
      <c r="E139" t="s">
        <v>20</v>
      </c>
      <c r="F139">
        <v>470.5</v>
      </c>
      <c r="G139">
        <v>8</v>
      </c>
      <c r="H139">
        <v>3</v>
      </c>
      <c r="I139" t="b">
        <v>0</v>
      </c>
      <c r="J139">
        <v>18</v>
      </c>
      <c r="K139" t="s">
        <v>18</v>
      </c>
      <c r="L139" t="str" cm="1">
        <f t="array" ref="L139">_xlfn.IFS(
J139&lt;=15,"Active",
J139&lt;=30,"Warm",
J139&gt;30,"Inactive"
)</f>
        <v>Warm</v>
      </c>
      <c r="M139" t="str">
        <f t="shared" si="2"/>
        <v>Low Value</v>
      </c>
      <c r="N139" t="str" cm="1">
        <f t="array" ref="N139">_xlfn.IFS(
C139&lt;=28,"25-28",
C139&lt;=32,"29-32",
C139&lt;=36,"33-36",
C139&lt;=40,"37-40",
C139&lt;=45,"41-45"
)</f>
        <v>33-36</v>
      </c>
    </row>
    <row r="140" spans="1:14" x14ac:dyDescent="0.3">
      <c r="A140">
        <v>239</v>
      </c>
      <c r="B140" t="s">
        <v>11</v>
      </c>
      <c r="C140">
        <v>30</v>
      </c>
      <c r="D140" t="s">
        <v>12</v>
      </c>
      <c r="E140" t="s">
        <v>13</v>
      </c>
      <c r="F140">
        <v>1180.8</v>
      </c>
      <c r="G140">
        <v>16</v>
      </c>
      <c r="H140">
        <v>4.7</v>
      </c>
      <c r="I140" t="b">
        <v>1</v>
      </c>
      <c r="J140">
        <v>19</v>
      </c>
      <c r="K140" t="s">
        <v>14</v>
      </c>
      <c r="L140" t="str" cm="1">
        <f t="array" ref="L140">_xlfn.IFS(
J140&lt;=15,"Active",
J140&lt;=30,"Warm",
J140&gt;30,"Inactive"
)</f>
        <v>Warm</v>
      </c>
      <c r="M140" t="str">
        <f t="shared" si="2"/>
        <v>High Value</v>
      </c>
      <c r="N140" t="str" cm="1">
        <f t="array" ref="N140">_xlfn.IFS(
C140&lt;=28,"25-28",
C140&lt;=32,"29-32",
C140&lt;=36,"33-36",
C140&lt;=40,"37-40",
C140&lt;=45,"41-45"
)</f>
        <v>29-32</v>
      </c>
    </row>
    <row r="141" spans="1:14" x14ac:dyDescent="0.3">
      <c r="A141">
        <v>240</v>
      </c>
      <c r="B141" t="s">
        <v>15</v>
      </c>
      <c r="C141">
        <v>34</v>
      </c>
      <c r="D141" t="s">
        <v>16</v>
      </c>
      <c r="E141" t="s">
        <v>17</v>
      </c>
      <c r="F141">
        <v>790.2</v>
      </c>
      <c r="G141">
        <v>11</v>
      </c>
      <c r="H141">
        <v>4</v>
      </c>
      <c r="I141" t="b">
        <v>0</v>
      </c>
      <c r="J141">
        <v>15</v>
      </c>
      <c r="K141" t="s">
        <v>18</v>
      </c>
      <c r="L141" t="str" cm="1">
        <f t="array" ref="L141">_xlfn.IFS(
J141&lt;=15,"Active",
J141&lt;=30,"Warm",
J141&gt;30,"Inactive"
)</f>
        <v>Active</v>
      </c>
      <c r="M141" t="str">
        <f t="shared" si="2"/>
        <v>Medium Value</v>
      </c>
      <c r="N141" t="str" cm="1">
        <f t="array" ref="N141">_xlfn.IFS(
C141&lt;=28,"25-28",
C141&lt;=32,"29-32",
C141&lt;=36,"33-36",
C141&lt;=40,"37-40",
C141&lt;=45,"41-45"
)</f>
        <v>33-36</v>
      </c>
    </row>
    <row r="142" spans="1:14" x14ac:dyDescent="0.3">
      <c r="A142">
        <v>241</v>
      </c>
      <c r="B142" t="s">
        <v>11</v>
      </c>
      <c r="C142">
        <v>43</v>
      </c>
      <c r="D142" t="s">
        <v>19</v>
      </c>
      <c r="E142" t="s">
        <v>20</v>
      </c>
      <c r="F142">
        <v>505.75</v>
      </c>
      <c r="G142">
        <v>10</v>
      </c>
      <c r="H142">
        <v>3.3</v>
      </c>
      <c r="I142" t="b">
        <v>1</v>
      </c>
      <c r="J142">
        <v>39</v>
      </c>
      <c r="K142" t="s">
        <v>21</v>
      </c>
      <c r="L142" t="str" cm="1">
        <f t="array" ref="L142">_xlfn.IFS(
J142&lt;=15,"Active",
J142&lt;=30,"Warm",
J142&gt;30,"Inactive"
)</f>
        <v>Inactive</v>
      </c>
      <c r="M142" t="str">
        <f t="shared" si="2"/>
        <v>Medium Value</v>
      </c>
      <c r="N142" t="str" cm="1">
        <f t="array" ref="N142">_xlfn.IFS(
C142&lt;=28,"25-28",
C142&lt;=32,"29-32",
C142&lt;=36,"33-36",
C142&lt;=40,"37-40",
C142&lt;=45,"41-45"
)</f>
        <v>41-45</v>
      </c>
    </row>
    <row r="143" spans="1:14" x14ac:dyDescent="0.3">
      <c r="A143">
        <v>242</v>
      </c>
      <c r="B143" t="s">
        <v>15</v>
      </c>
      <c r="C143">
        <v>30</v>
      </c>
      <c r="D143" t="s">
        <v>22</v>
      </c>
      <c r="E143" t="s">
        <v>13</v>
      </c>
      <c r="F143">
        <v>1470.5</v>
      </c>
      <c r="G143">
        <v>20</v>
      </c>
      <c r="H143">
        <v>4.8</v>
      </c>
      <c r="I143" t="b">
        <v>0</v>
      </c>
      <c r="J143">
        <v>13</v>
      </c>
      <c r="K143" t="s">
        <v>14</v>
      </c>
      <c r="L143" t="str" cm="1">
        <f t="array" ref="L143">_xlfn.IFS(
J143&lt;=15,"Active",
J143&lt;=30,"Warm",
J143&gt;30,"Inactive"
)</f>
        <v>Active</v>
      </c>
      <c r="M143" t="str">
        <f t="shared" si="2"/>
        <v>High Value</v>
      </c>
      <c r="N143" t="str" cm="1">
        <f t="array" ref="N143">_xlfn.IFS(
C143&lt;=28,"25-28",
C143&lt;=32,"29-32",
C143&lt;=36,"33-36",
C143&lt;=40,"37-40",
C143&lt;=45,"41-45"
)</f>
        <v>29-32</v>
      </c>
    </row>
    <row r="144" spans="1:14" x14ac:dyDescent="0.3">
      <c r="A144">
        <v>243</v>
      </c>
      <c r="B144" t="s">
        <v>15</v>
      </c>
      <c r="C144">
        <v>27</v>
      </c>
      <c r="D144" t="s">
        <v>23</v>
      </c>
      <c r="E144" t="s">
        <v>17</v>
      </c>
      <c r="F144">
        <v>710.4</v>
      </c>
      <c r="G144">
        <v>13</v>
      </c>
      <c r="H144">
        <v>4.0999999999999996</v>
      </c>
      <c r="I144" t="b">
        <v>1</v>
      </c>
      <c r="J144">
        <v>54</v>
      </c>
      <c r="K144" t="s">
        <v>21</v>
      </c>
      <c r="L144" t="str" cm="1">
        <f t="array" ref="L144">_xlfn.IFS(
J144&lt;=15,"Active",
J144&lt;=30,"Warm",
J144&gt;30,"Inactive"
)</f>
        <v>Inactive</v>
      </c>
      <c r="M144" t="str">
        <f t="shared" si="2"/>
        <v>Medium Value</v>
      </c>
      <c r="N144" t="str" cm="1">
        <f t="array" ref="N144">_xlfn.IFS(
C144&lt;=28,"25-28",
C144&lt;=32,"29-32",
C144&lt;=36,"33-36",
C144&lt;=40,"37-40",
C144&lt;=45,"41-45"
)</f>
        <v>25-28</v>
      </c>
    </row>
    <row r="145" spans="1:14" x14ac:dyDescent="0.3">
      <c r="A145">
        <v>244</v>
      </c>
      <c r="B145" t="s">
        <v>11</v>
      </c>
      <c r="C145">
        <v>37</v>
      </c>
      <c r="D145" t="s">
        <v>24</v>
      </c>
      <c r="E145" t="s">
        <v>20</v>
      </c>
      <c r="F145">
        <v>430.8</v>
      </c>
      <c r="G145">
        <v>7</v>
      </c>
      <c r="H145">
        <v>3.4</v>
      </c>
      <c r="I145" t="b">
        <v>0</v>
      </c>
      <c r="J145">
        <v>23</v>
      </c>
      <c r="K145" t="s">
        <v>21</v>
      </c>
      <c r="L145" t="str" cm="1">
        <f t="array" ref="L145">_xlfn.IFS(
J145&lt;=15,"Active",
J145&lt;=30,"Warm",
J145&gt;30,"Inactive"
)</f>
        <v>Warm</v>
      </c>
      <c r="M145" t="str">
        <f t="shared" si="2"/>
        <v>Low Value</v>
      </c>
      <c r="N145" t="str" cm="1">
        <f t="array" ref="N145">_xlfn.IFS(
C145&lt;=28,"25-28",
C145&lt;=32,"29-32",
C145&lt;=36,"33-36",
C145&lt;=40,"37-40",
C145&lt;=45,"41-45"
)</f>
        <v>37-40</v>
      </c>
    </row>
    <row r="146" spans="1:14" x14ac:dyDescent="0.3">
      <c r="A146">
        <v>245</v>
      </c>
      <c r="B146" t="s">
        <v>11</v>
      </c>
      <c r="C146">
        <v>31</v>
      </c>
      <c r="D146" t="s">
        <v>12</v>
      </c>
      <c r="E146" t="s">
        <v>13</v>
      </c>
      <c r="F146">
        <v>1130.5999999999999</v>
      </c>
      <c r="G146">
        <v>15</v>
      </c>
      <c r="H146">
        <v>4.5</v>
      </c>
      <c r="I146" t="b">
        <v>1</v>
      </c>
      <c r="J146">
        <v>26</v>
      </c>
      <c r="K146" t="s">
        <v>14</v>
      </c>
      <c r="L146" t="str" cm="1">
        <f t="array" ref="L146">_xlfn.IFS(
J146&lt;=15,"Active",
J146&lt;=30,"Warm",
J146&gt;30,"Inactive"
)</f>
        <v>Warm</v>
      </c>
      <c r="M146" t="str">
        <f t="shared" si="2"/>
        <v>High Value</v>
      </c>
      <c r="N146" t="str" cm="1">
        <f t="array" ref="N146">_xlfn.IFS(
C146&lt;=28,"25-28",
C146&lt;=32,"29-32",
C146&lt;=36,"33-36",
C146&lt;=40,"37-40",
C146&lt;=45,"41-45"
)</f>
        <v>29-32</v>
      </c>
    </row>
    <row r="147" spans="1:14" x14ac:dyDescent="0.3">
      <c r="A147">
        <v>246</v>
      </c>
      <c r="B147" t="s">
        <v>15</v>
      </c>
      <c r="C147">
        <v>35</v>
      </c>
      <c r="D147" t="s">
        <v>16</v>
      </c>
      <c r="E147" t="s">
        <v>17</v>
      </c>
      <c r="F147">
        <v>820.9</v>
      </c>
      <c r="G147">
        <v>12</v>
      </c>
      <c r="H147">
        <v>4.3</v>
      </c>
      <c r="I147" t="b">
        <v>0</v>
      </c>
      <c r="J147">
        <v>12</v>
      </c>
      <c r="K147" t="s">
        <v>18</v>
      </c>
      <c r="L147" t="str" cm="1">
        <f t="array" ref="L147">_xlfn.IFS(
J147&lt;=15,"Active",
J147&lt;=30,"Warm",
J147&gt;30,"Inactive"
)</f>
        <v>Active</v>
      </c>
      <c r="M147" t="str">
        <f t="shared" si="2"/>
        <v>Medium Value</v>
      </c>
      <c r="N147" t="str" cm="1">
        <f t="array" ref="N147">_xlfn.IFS(
C147&lt;=28,"25-28",
C147&lt;=32,"29-32",
C147&lt;=36,"33-36",
C147&lt;=40,"37-40",
C147&lt;=45,"41-45"
)</f>
        <v>33-36</v>
      </c>
    </row>
    <row r="148" spans="1:14" x14ac:dyDescent="0.3">
      <c r="A148">
        <v>247</v>
      </c>
      <c r="B148" t="s">
        <v>11</v>
      </c>
      <c r="C148">
        <v>41</v>
      </c>
      <c r="D148" t="s">
        <v>19</v>
      </c>
      <c r="E148" t="s">
        <v>20</v>
      </c>
      <c r="F148">
        <v>480.25</v>
      </c>
      <c r="G148">
        <v>9</v>
      </c>
      <c r="H148">
        <v>3.6</v>
      </c>
      <c r="I148" t="b">
        <v>1</v>
      </c>
      <c r="J148">
        <v>38</v>
      </c>
      <c r="K148" t="s">
        <v>21</v>
      </c>
      <c r="L148" t="str" cm="1">
        <f t="array" ref="L148">_xlfn.IFS(
J148&lt;=15,"Active",
J148&lt;=30,"Warm",
J148&gt;30,"Inactive"
)</f>
        <v>Inactive</v>
      </c>
      <c r="M148" t="str">
        <f t="shared" si="2"/>
        <v>Low Value</v>
      </c>
      <c r="N148" t="str" cm="1">
        <f t="array" ref="N148">_xlfn.IFS(
C148&lt;=28,"25-28",
C148&lt;=32,"29-32",
C148&lt;=36,"33-36",
C148&lt;=40,"37-40",
C148&lt;=45,"41-45"
)</f>
        <v>41-45</v>
      </c>
    </row>
    <row r="149" spans="1:14" x14ac:dyDescent="0.3">
      <c r="A149">
        <v>248</v>
      </c>
      <c r="B149" t="s">
        <v>15</v>
      </c>
      <c r="C149">
        <v>28</v>
      </c>
      <c r="D149" t="s">
        <v>22</v>
      </c>
      <c r="E149" t="s">
        <v>13</v>
      </c>
      <c r="F149">
        <v>1490.1</v>
      </c>
      <c r="G149">
        <v>21</v>
      </c>
      <c r="H149">
        <v>4.9000000000000004</v>
      </c>
      <c r="I149" t="b">
        <v>0</v>
      </c>
      <c r="J149">
        <v>9</v>
      </c>
      <c r="K149" t="s">
        <v>14</v>
      </c>
      <c r="L149" t="str" cm="1">
        <f t="array" ref="L149">_xlfn.IFS(
J149&lt;=15,"Active",
J149&lt;=30,"Warm",
J149&gt;30,"Inactive"
)</f>
        <v>Active</v>
      </c>
      <c r="M149" t="str">
        <f t="shared" si="2"/>
        <v>High Value</v>
      </c>
      <c r="N149" t="str" cm="1">
        <f t="array" ref="N149">_xlfn.IFS(
C149&lt;=28,"25-28",
C149&lt;=32,"29-32",
C149&lt;=36,"33-36",
C149&lt;=40,"37-40",
C149&lt;=45,"41-45"
)</f>
        <v>25-28</v>
      </c>
    </row>
    <row r="150" spans="1:14" x14ac:dyDescent="0.3">
      <c r="A150">
        <v>249</v>
      </c>
      <c r="B150" t="s">
        <v>15</v>
      </c>
      <c r="C150">
        <v>32</v>
      </c>
      <c r="D150" t="s">
        <v>23</v>
      </c>
      <c r="E150" t="s">
        <v>17</v>
      </c>
      <c r="F150">
        <v>680.3</v>
      </c>
      <c r="G150">
        <v>10</v>
      </c>
      <c r="H150">
        <v>3.8</v>
      </c>
      <c r="I150" t="b">
        <v>1</v>
      </c>
      <c r="J150">
        <v>32</v>
      </c>
      <c r="K150" t="s">
        <v>21</v>
      </c>
      <c r="L150" t="str" cm="1">
        <f t="array" ref="L150">_xlfn.IFS(
J150&lt;=15,"Active",
J150&lt;=30,"Warm",
J150&gt;30,"Inactive"
)</f>
        <v>Inactive</v>
      </c>
      <c r="M150" t="str">
        <f t="shared" si="2"/>
        <v>Medium Value</v>
      </c>
      <c r="N150" t="str" cm="1">
        <f t="array" ref="N150">_xlfn.IFS(
C150&lt;=28,"25-28",
C150&lt;=32,"29-32",
C150&lt;=36,"33-36",
C150&lt;=40,"37-40",
C150&lt;=45,"41-45"
)</f>
        <v>29-32</v>
      </c>
    </row>
    <row r="151" spans="1:14" x14ac:dyDescent="0.3">
      <c r="A151">
        <v>250</v>
      </c>
      <c r="B151" t="s">
        <v>11</v>
      </c>
      <c r="C151">
        <v>36</v>
      </c>
      <c r="D151" t="s">
        <v>24</v>
      </c>
      <c r="E151" t="s">
        <v>20</v>
      </c>
      <c r="F151">
        <v>470.5</v>
      </c>
      <c r="G151">
        <v>8</v>
      </c>
      <c r="H151">
        <v>3</v>
      </c>
      <c r="I151" t="b">
        <v>0</v>
      </c>
      <c r="J151">
        <v>18</v>
      </c>
      <c r="K151" t="s">
        <v>18</v>
      </c>
      <c r="L151" t="str" cm="1">
        <f t="array" ref="L151">_xlfn.IFS(
J151&lt;=15,"Active",
J151&lt;=30,"Warm",
J151&gt;30,"Inactive"
)</f>
        <v>Warm</v>
      </c>
      <c r="M151" t="str">
        <f t="shared" si="2"/>
        <v>Low Value</v>
      </c>
      <c r="N151" t="str" cm="1">
        <f t="array" ref="N151">_xlfn.IFS(
C151&lt;=28,"25-28",
C151&lt;=32,"29-32",
C151&lt;=36,"33-36",
C151&lt;=40,"37-40",
C151&lt;=45,"41-45"
)</f>
        <v>33-36</v>
      </c>
    </row>
    <row r="152" spans="1:14" x14ac:dyDescent="0.3">
      <c r="A152">
        <v>251</v>
      </c>
      <c r="B152" t="s">
        <v>11</v>
      </c>
      <c r="C152">
        <v>30</v>
      </c>
      <c r="D152" t="s">
        <v>12</v>
      </c>
      <c r="E152" t="s">
        <v>13</v>
      </c>
      <c r="F152">
        <v>1180.8</v>
      </c>
      <c r="G152">
        <v>16</v>
      </c>
      <c r="H152">
        <v>4.7</v>
      </c>
      <c r="I152" t="b">
        <v>1</v>
      </c>
      <c r="J152">
        <v>19</v>
      </c>
      <c r="K152" t="s">
        <v>14</v>
      </c>
      <c r="L152" t="str" cm="1">
        <f t="array" ref="L152">_xlfn.IFS(
J152&lt;=15,"Active",
J152&lt;=30,"Warm",
J152&gt;30,"Inactive"
)</f>
        <v>Warm</v>
      </c>
      <c r="M152" t="str">
        <f t="shared" si="2"/>
        <v>High Value</v>
      </c>
      <c r="N152" t="str" cm="1">
        <f t="array" ref="N152">_xlfn.IFS(
C152&lt;=28,"25-28",
C152&lt;=32,"29-32",
C152&lt;=36,"33-36",
C152&lt;=40,"37-40",
C152&lt;=45,"41-45"
)</f>
        <v>29-32</v>
      </c>
    </row>
    <row r="153" spans="1:14" x14ac:dyDescent="0.3">
      <c r="A153">
        <v>252</v>
      </c>
      <c r="B153" t="s">
        <v>15</v>
      </c>
      <c r="C153">
        <v>34</v>
      </c>
      <c r="D153" t="s">
        <v>16</v>
      </c>
      <c r="E153" t="s">
        <v>17</v>
      </c>
      <c r="F153">
        <v>790.2</v>
      </c>
      <c r="G153">
        <v>11</v>
      </c>
      <c r="H153">
        <v>4</v>
      </c>
      <c r="I153" t="b">
        <v>0</v>
      </c>
      <c r="J153">
        <v>15</v>
      </c>
      <c r="K153" t="s">
        <v>18</v>
      </c>
      <c r="L153" t="str" cm="1">
        <f t="array" ref="L153">_xlfn.IFS(
J153&lt;=15,"Active",
J153&lt;=30,"Warm",
J153&gt;30,"Inactive"
)</f>
        <v>Active</v>
      </c>
      <c r="M153" t="str">
        <f t="shared" si="2"/>
        <v>Medium Value</v>
      </c>
      <c r="N153" t="str" cm="1">
        <f t="array" ref="N153">_xlfn.IFS(
C153&lt;=28,"25-28",
C153&lt;=32,"29-32",
C153&lt;=36,"33-36",
C153&lt;=40,"37-40",
C153&lt;=45,"41-45"
)</f>
        <v>33-36</v>
      </c>
    </row>
    <row r="154" spans="1:14" x14ac:dyDescent="0.3">
      <c r="A154">
        <v>253</v>
      </c>
      <c r="B154" t="s">
        <v>11</v>
      </c>
      <c r="C154">
        <v>43</v>
      </c>
      <c r="D154" t="s">
        <v>19</v>
      </c>
      <c r="E154" t="s">
        <v>20</v>
      </c>
      <c r="F154">
        <v>505.75</v>
      </c>
      <c r="G154">
        <v>10</v>
      </c>
      <c r="H154">
        <v>3.3</v>
      </c>
      <c r="I154" t="b">
        <v>1</v>
      </c>
      <c r="J154">
        <v>39</v>
      </c>
      <c r="K154" t="s">
        <v>21</v>
      </c>
      <c r="L154" t="str" cm="1">
        <f t="array" ref="L154">_xlfn.IFS(
J154&lt;=15,"Active",
J154&lt;=30,"Warm",
J154&gt;30,"Inactive"
)</f>
        <v>Inactive</v>
      </c>
      <c r="M154" t="str">
        <f t="shared" si="2"/>
        <v>Medium Value</v>
      </c>
      <c r="N154" t="str" cm="1">
        <f t="array" ref="N154">_xlfn.IFS(
C154&lt;=28,"25-28",
C154&lt;=32,"29-32",
C154&lt;=36,"33-36",
C154&lt;=40,"37-40",
C154&lt;=45,"41-45"
)</f>
        <v>41-45</v>
      </c>
    </row>
    <row r="155" spans="1:14" x14ac:dyDescent="0.3">
      <c r="A155">
        <v>254</v>
      </c>
      <c r="B155" t="s">
        <v>15</v>
      </c>
      <c r="C155">
        <v>30</v>
      </c>
      <c r="D155" t="s">
        <v>22</v>
      </c>
      <c r="E155" t="s">
        <v>13</v>
      </c>
      <c r="F155">
        <v>1470.5</v>
      </c>
      <c r="G155">
        <v>20</v>
      </c>
      <c r="H155">
        <v>4.8</v>
      </c>
      <c r="I155" t="b">
        <v>0</v>
      </c>
      <c r="J155">
        <v>13</v>
      </c>
      <c r="K155" t="s">
        <v>14</v>
      </c>
      <c r="L155" t="str" cm="1">
        <f t="array" ref="L155">_xlfn.IFS(
J155&lt;=15,"Active",
J155&lt;=30,"Warm",
J155&gt;30,"Inactive"
)</f>
        <v>Active</v>
      </c>
      <c r="M155" t="str">
        <f t="shared" si="2"/>
        <v>High Value</v>
      </c>
      <c r="N155" t="str" cm="1">
        <f t="array" ref="N155">_xlfn.IFS(
C155&lt;=28,"25-28",
C155&lt;=32,"29-32",
C155&lt;=36,"33-36",
C155&lt;=40,"37-40",
C155&lt;=45,"41-45"
)</f>
        <v>29-32</v>
      </c>
    </row>
    <row r="156" spans="1:14" x14ac:dyDescent="0.3">
      <c r="A156">
        <v>255</v>
      </c>
      <c r="B156" t="s">
        <v>15</v>
      </c>
      <c r="C156">
        <v>27</v>
      </c>
      <c r="D156" t="s">
        <v>23</v>
      </c>
      <c r="E156" t="s">
        <v>17</v>
      </c>
      <c r="F156">
        <v>710.4</v>
      </c>
      <c r="G156">
        <v>13</v>
      </c>
      <c r="H156">
        <v>4.0999999999999996</v>
      </c>
      <c r="I156" t="b">
        <v>1</v>
      </c>
      <c r="J156">
        <v>54</v>
      </c>
      <c r="K156" t="s">
        <v>21</v>
      </c>
      <c r="L156" t="str" cm="1">
        <f t="array" ref="L156">_xlfn.IFS(
J156&lt;=15,"Active",
J156&lt;=30,"Warm",
J156&gt;30,"Inactive"
)</f>
        <v>Inactive</v>
      </c>
      <c r="M156" t="str">
        <f t="shared" si="2"/>
        <v>Medium Value</v>
      </c>
      <c r="N156" t="str" cm="1">
        <f t="array" ref="N156">_xlfn.IFS(
C156&lt;=28,"25-28",
C156&lt;=32,"29-32",
C156&lt;=36,"33-36",
C156&lt;=40,"37-40",
C156&lt;=45,"41-45"
)</f>
        <v>25-28</v>
      </c>
    </row>
    <row r="157" spans="1:14" x14ac:dyDescent="0.3">
      <c r="A157">
        <v>256</v>
      </c>
      <c r="B157" t="s">
        <v>11</v>
      </c>
      <c r="C157">
        <v>37</v>
      </c>
      <c r="D157" t="s">
        <v>24</v>
      </c>
      <c r="E157" t="s">
        <v>20</v>
      </c>
      <c r="F157">
        <v>430.8</v>
      </c>
      <c r="G157">
        <v>7</v>
      </c>
      <c r="H157">
        <v>3.4</v>
      </c>
      <c r="I157" t="b">
        <v>0</v>
      </c>
      <c r="J157">
        <v>23</v>
      </c>
      <c r="K157" t="s">
        <v>18</v>
      </c>
      <c r="L157" t="str" cm="1">
        <f t="array" ref="L157">_xlfn.IFS(
J157&lt;=15,"Active",
J157&lt;=30,"Warm",
J157&gt;30,"Inactive"
)</f>
        <v>Warm</v>
      </c>
      <c r="M157" t="str">
        <f t="shared" si="2"/>
        <v>Low Value</v>
      </c>
      <c r="N157" t="str" cm="1">
        <f t="array" ref="N157">_xlfn.IFS(
C157&lt;=28,"25-28",
C157&lt;=32,"29-32",
C157&lt;=36,"33-36",
C157&lt;=40,"37-40",
C157&lt;=45,"41-45"
)</f>
        <v>37-40</v>
      </c>
    </row>
    <row r="158" spans="1:14" x14ac:dyDescent="0.3">
      <c r="A158">
        <v>257</v>
      </c>
      <c r="B158" t="s">
        <v>11</v>
      </c>
      <c r="C158">
        <v>31</v>
      </c>
      <c r="D158" t="s">
        <v>12</v>
      </c>
      <c r="E158" t="s">
        <v>13</v>
      </c>
      <c r="F158">
        <v>1140.5999999999999</v>
      </c>
      <c r="G158">
        <v>15</v>
      </c>
      <c r="H158">
        <v>4.5999999999999996</v>
      </c>
      <c r="I158" t="b">
        <v>1</v>
      </c>
      <c r="J158">
        <v>27</v>
      </c>
      <c r="K158" t="s">
        <v>14</v>
      </c>
      <c r="L158" t="str" cm="1">
        <f t="array" ref="L158">_xlfn.IFS(
J158&lt;=15,"Active",
J158&lt;=30,"Warm",
J158&gt;30,"Inactive"
)</f>
        <v>Warm</v>
      </c>
      <c r="M158" t="str">
        <f t="shared" si="2"/>
        <v>High Value</v>
      </c>
      <c r="N158" t="str" cm="1">
        <f t="array" ref="N158">_xlfn.IFS(
C158&lt;=28,"25-28",
C158&lt;=32,"29-32",
C158&lt;=36,"33-36",
C158&lt;=40,"37-40",
C158&lt;=45,"41-45"
)</f>
        <v>29-32</v>
      </c>
    </row>
    <row r="159" spans="1:14" x14ac:dyDescent="0.3">
      <c r="A159">
        <v>258</v>
      </c>
      <c r="B159" t="s">
        <v>15</v>
      </c>
      <c r="C159">
        <v>35</v>
      </c>
      <c r="D159" t="s">
        <v>16</v>
      </c>
      <c r="E159" t="s">
        <v>17</v>
      </c>
      <c r="F159">
        <v>810.9</v>
      </c>
      <c r="G159">
        <v>12</v>
      </c>
      <c r="H159">
        <v>4.3</v>
      </c>
      <c r="I159" t="b">
        <v>0</v>
      </c>
      <c r="J159">
        <v>13</v>
      </c>
      <c r="K159" t="s">
        <v>18</v>
      </c>
      <c r="L159" t="str" cm="1">
        <f t="array" ref="L159">_xlfn.IFS(
J159&lt;=15,"Active",
J159&lt;=30,"Warm",
J159&gt;30,"Inactive"
)</f>
        <v>Active</v>
      </c>
      <c r="M159" t="str">
        <f t="shared" si="2"/>
        <v>Medium Value</v>
      </c>
      <c r="N159" t="str" cm="1">
        <f t="array" ref="N159">_xlfn.IFS(
C159&lt;=28,"25-28",
C159&lt;=32,"29-32",
C159&lt;=36,"33-36",
C159&lt;=40,"37-40",
C159&lt;=45,"41-45"
)</f>
        <v>33-36</v>
      </c>
    </row>
    <row r="160" spans="1:14" x14ac:dyDescent="0.3">
      <c r="A160">
        <v>259</v>
      </c>
      <c r="B160" t="s">
        <v>11</v>
      </c>
      <c r="C160">
        <v>41</v>
      </c>
      <c r="D160" t="s">
        <v>19</v>
      </c>
      <c r="E160" t="s">
        <v>20</v>
      </c>
      <c r="F160">
        <v>485.25</v>
      </c>
      <c r="G160">
        <v>9</v>
      </c>
      <c r="H160">
        <v>3.6</v>
      </c>
      <c r="I160" t="b">
        <v>1</v>
      </c>
      <c r="J160">
        <v>39</v>
      </c>
      <c r="K160" t="s">
        <v>21</v>
      </c>
      <c r="L160" t="str" cm="1">
        <f t="array" ref="L160">_xlfn.IFS(
J160&lt;=15,"Active",
J160&lt;=30,"Warm",
J160&gt;30,"Inactive"
)</f>
        <v>Inactive</v>
      </c>
      <c r="M160" t="str">
        <f t="shared" si="2"/>
        <v>Low Value</v>
      </c>
      <c r="N160" t="str" cm="1">
        <f t="array" ref="N160">_xlfn.IFS(
C160&lt;=28,"25-28",
C160&lt;=32,"29-32",
C160&lt;=36,"33-36",
C160&lt;=40,"37-40",
C160&lt;=45,"41-45"
)</f>
        <v>41-45</v>
      </c>
    </row>
    <row r="161" spans="1:14" x14ac:dyDescent="0.3">
      <c r="A161">
        <v>260</v>
      </c>
      <c r="B161" t="s">
        <v>15</v>
      </c>
      <c r="C161">
        <v>28</v>
      </c>
      <c r="D161" t="s">
        <v>22</v>
      </c>
      <c r="E161" t="s">
        <v>13</v>
      </c>
      <c r="F161">
        <v>1500.1</v>
      </c>
      <c r="G161">
        <v>21</v>
      </c>
      <c r="H161">
        <v>4.9000000000000004</v>
      </c>
      <c r="I161" t="b">
        <v>0</v>
      </c>
      <c r="J161">
        <v>10</v>
      </c>
      <c r="K161" t="s">
        <v>14</v>
      </c>
      <c r="L161" t="str" cm="1">
        <f t="array" ref="L161">_xlfn.IFS(
J161&lt;=15,"Active",
J161&lt;=30,"Warm",
J161&gt;30,"Inactive"
)</f>
        <v>Active</v>
      </c>
      <c r="M161" t="str">
        <f t="shared" si="2"/>
        <v>High Value</v>
      </c>
      <c r="N161" t="str" cm="1">
        <f t="array" ref="N161">_xlfn.IFS(
C161&lt;=28,"25-28",
C161&lt;=32,"29-32",
C161&lt;=36,"33-36",
C161&lt;=40,"37-40",
C161&lt;=45,"41-45"
)</f>
        <v>25-28</v>
      </c>
    </row>
    <row r="162" spans="1:14" x14ac:dyDescent="0.3">
      <c r="A162">
        <v>261</v>
      </c>
      <c r="B162" t="s">
        <v>15</v>
      </c>
      <c r="C162">
        <v>32</v>
      </c>
      <c r="D162" t="s">
        <v>23</v>
      </c>
      <c r="E162" t="s">
        <v>17</v>
      </c>
      <c r="F162">
        <v>670.3</v>
      </c>
      <c r="G162">
        <v>10</v>
      </c>
      <c r="H162">
        <v>3.8</v>
      </c>
      <c r="I162" t="b">
        <v>1</v>
      </c>
      <c r="J162">
        <v>33</v>
      </c>
      <c r="K162" t="s">
        <v>21</v>
      </c>
      <c r="L162" t="str" cm="1">
        <f t="array" ref="L162">_xlfn.IFS(
J162&lt;=15,"Active",
J162&lt;=30,"Warm",
J162&gt;30,"Inactive"
)</f>
        <v>Inactive</v>
      </c>
      <c r="M162" t="str">
        <f t="shared" si="2"/>
        <v>Medium Value</v>
      </c>
      <c r="N162" t="str" cm="1">
        <f t="array" ref="N162">_xlfn.IFS(
C162&lt;=28,"25-28",
C162&lt;=32,"29-32",
C162&lt;=36,"33-36",
C162&lt;=40,"37-40",
C162&lt;=45,"41-45"
)</f>
        <v>29-32</v>
      </c>
    </row>
    <row r="163" spans="1:14" x14ac:dyDescent="0.3">
      <c r="A163">
        <v>262</v>
      </c>
      <c r="B163" t="s">
        <v>11</v>
      </c>
      <c r="C163">
        <v>36</v>
      </c>
      <c r="D163" t="s">
        <v>24</v>
      </c>
      <c r="E163" t="s">
        <v>20</v>
      </c>
      <c r="F163">
        <v>460.5</v>
      </c>
      <c r="G163">
        <v>8</v>
      </c>
      <c r="H163">
        <v>3.1</v>
      </c>
      <c r="I163" t="b">
        <v>0</v>
      </c>
      <c r="J163">
        <v>19</v>
      </c>
      <c r="K163" t="s">
        <v>18</v>
      </c>
      <c r="L163" t="str" cm="1">
        <f t="array" ref="L163">_xlfn.IFS(
J163&lt;=15,"Active",
J163&lt;=30,"Warm",
J163&gt;30,"Inactive"
)</f>
        <v>Warm</v>
      </c>
      <c r="M163" t="str">
        <f t="shared" si="2"/>
        <v>Low Value</v>
      </c>
      <c r="N163" t="str" cm="1">
        <f t="array" ref="N163">_xlfn.IFS(
C163&lt;=28,"25-28",
C163&lt;=32,"29-32",
C163&lt;=36,"33-36",
C163&lt;=40,"37-40",
C163&lt;=45,"41-45"
)</f>
        <v>33-36</v>
      </c>
    </row>
    <row r="164" spans="1:14" x14ac:dyDescent="0.3">
      <c r="A164">
        <v>263</v>
      </c>
      <c r="B164" t="s">
        <v>11</v>
      </c>
      <c r="C164">
        <v>30</v>
      </c>
      <c r="D164" t="s">
        <v>12</v>
      </c>
      <c r="E164" t="s">
        <v>13</v>
      </c>
      <c r="F164">
        <v>1190.8</v>
      </c>
      <c r="G164">
        <v>16</v>
      </c>
      <c r="H164">
        <v>4.5</v>
      </c>
      <c r="I164" t="b">
        <v>1</v>
      </c>
      <c r="J164">
        <v>20</v>
      </c>
      <c r="K164" t="s">
        <v>14</v>
      </c>
      <c r="L164" t="str" cm="1">
        <f t="array" ref="L164">_xlfn.IFS(
J164&lt;=15,"Active",
J164&lt;=30,"Warm",
J164&gt;30,"Inactive"
)</f>
        <v>Warm</v>
      </c>
      <c r="M164" t="str">
        <f t="shared" si="2"/>
        <v>High Value</v>
      </c>
      <c r="N164" t="str" cm="1">
        <f t="array" ref="N164">_xlfn.IFS(
C164&lt;=28,"25-28",
C164&lt;=32,"29-32",
C164&lt;=36,"33-36",
C164&lt;=40,"37-40",
C164&lt;=45,"41-45"
)</f>
        <v>29-32</v>
      </c>
    </row>
    <row r="165" spans="1:14" x14ac:dyDescent="0.3">
      <c r="A165">
        <v>264</v>
      </c>
      <c r="B165" t="s">
        <v>15</v>
      </c>
      <c r="C165">
        <v>33</v>
      </c>
      <c r="D165" t="s">
        <v>16</v>
      </c>
      <c r="E165" t="s">
        <v>17</v>
      </c>
      <c r="F165">
        <v>830.75</v>
      </c>
      <c r="G165">
        <v>13</v>
      </c>
      <c r="H165">
        <v>4.2</v>
      </c>
      <c r="I165" t="b">
        <v>0</v>
      </c>
      <c r="J165">
        <v>14</v>
      </c>
      <c r="K165" t="s">
        <v>14</v>
      </c>
      <c r="L165" t="str" cm="1">
        <f t="array" ref="L165">_xlfn.IFS(
J165&lt;=15,"Active",
J165&lt;=30,"Warm",
J165&gt;30,"Inactive"
)</f>
        <v>Active</v>
      </c>
      <c r="M165" t="str">
        <f t="shared" si="2"/>
        <v>Medium Value</v>
      </c>
      <c r="N165" t="str" cm="1">
        <f t="array" ref="N165">_xlfn.IFS(
C165&lt;=28,"25-28",
C165&lt;=32,"29-32",
C165&lt;=36,"33-36",
C165&lt;=40,"37-40",
C165&lt;=45,"41-45"
)</f>
        <v>33-36</v>
      </c>
    </row>
    <row r="166" spans="1:14" x14ac:dyDescent="0.3">
      <c r="A166">
        <v>265</v>
      </c>
      <c r="B166" t="s">
        <v>11</v>
      </c>
      <c r="C166">
        <v>42</v>
      </c>
      <c r="D166" t="s">
        <v>19</v>
      </c>
      <c r="E166" t="s">
        <v>20</v>
      </c>
      <c r="F166">
        <v>520.4</v>
      </c>
      <c r="G166">
        <v>9</v>
      </c>
      <c r="H166">
        <v>3.5</v>
      </c>
      <c r="I166" t="b">
        <v>1</v>
      </c>
      <c r="J166">
        <v>37</v>
      </c>
      <c r="K166" t="s">
        <v>21</v>
      </c>
      <c r="L166" t="str" cm="1">
        <f t="array" ref="L166">_xlfn.IFS(
J166&lt;=15,"Active",
J166&lt;=30,"Warm",
J166&gt;30,"Inactive"
)</f>
        <v>Inactive</v>
      </c>
      <c r="M166" t="str">
        <f t="shared" si="2"/>
        <v>Medium Value</v>
      </c>
      <c r="N166" t="str" cm="1">
        <f t="array" ref="N166">_xlfn.IFS(
C166&lt;=28,"25-28",
C166&lt;=32,"29-32",
C166&lt;=36,"33-36",
C166&lt;=40,"37-40",
C166&lt;=45,"41-45"
)</f>
        <v>41-45</v>
      </c>
    </row>
    <row r="167" spans="1:14" x14ac:dyDescent="0.3">
      <c r="A167">
        <v>266</v>
      </c>
      <c r="B167" t="s">
        <v>15</v>
      </c>
      <c r="C167">
        <v>29</v>
      </c>
      <c r="D167" t="s">
        <v>22</v>
      </c>
      <c r="E167" t="s">
        <v>13</v>
      </c>
      <c r="F167">
        <v>1370.2</v>
      </c>
      <c r="G167">
        <v>18</v>
      </c>
      <c r="H167">
        <v>4.7</v>
      </c>
      <c r="I167" t="b">
        <v>0</v>
      </c>
      <c r="J167">
        <v>10</v>
      </c>
      <c r="K167" t="s">
        <v>14</v>
      </c>
      <c r="L167" t="str" cm="1">
        <f t="array" ref="L167">_xlfn.IFS(
J167&lt;=15,"Active",
J167&lt;=30,"Warm",
J167&gt;30,"Inactive"
)</f>
        <v>Active</v>
      </c>
      <c r="M167" t="str">
        <f t="shared" si="2"/>
        <v>High Value</v>
      </c>
      <c r="N167" t="str" cm="1">
        <f t="array" ref="N167">_xlfn.IFS(
C167&lt;=28,"25-28",
C167&lt;=32,"29-32",
C167&lt;=36,"33-36",
C167&lt;=40,"37-40",
C167&lt;=45,"41-45"
)</f>
        <v>29-32</v>
      </c>
    </row>
    <row r="168" spans="1:14" x14ac:dyDescent="0.3">
      <c r="A168">
        <v>267</v>
      </c>
      <c r="B168" t="s">
        <v>15</v>
      </c>
      <c r="C168">
        <v>26</v>
      </c>
      <c r="D168" t="s">
        <v>23</v>
      </c>
      <c r="E168" t="s">
        <v>17</v>
      </c>
      <c r="F168">
        <v>690.6</v>
      </c>
      <c r="G168">
        <v>12</v>
      </c>
      <c r="H168">
        <v>3.9</v>
      </c>
      <c r="I168" t="b">
        <v>1</v>
      </c>
      <c r="J168">
        <v>47</v>
      </c>
      <c r="K168" t="s">
        <v>21</v>
      </c>
      <c r="L168" t="str" cm="1">
        <f t="array" ref="L168">_xlfn.IFS(
J168&lt;=15,"Active",
J168&lt;=30,"Warm",
J168&gt;30,"Inactive"
)</f>
        <v>Inactive</v>
      </c>
      <c r="M168" t="str">
        <f t="shared" si="2"/>
        <v>Medium Value</v>
      </c>
      <c r="N168" t="str" cm="1">
        <f t="array" ref="N168">_xlfn.IFS(
C168&lt;=28,"25-28",
C168&lt;=32,"29-32",
C168&lt;=36,"33-36",
C168&lt;=40,"37-40",
C168&lt;=45,"41-45"
)</f>
        <v>25-28</v>
      </c>
    </row>
    <row r="169" spans="1:14" x14ac:dyDescent="0.3">
      <c r="A169">
        <v>268</v>
      </c>
      <c r="B169" t="s">
        <v>11</v>
      </c>
      <c r="C169">
        <v>38</v>
      </c>
      <c r="D169" t="s">
        <v>24</v>
      </c>
      <c r="E169" t="s">
        <v>20</v>
      </c>
      <c r="F169">
        <v>440.9</v>
      </c>
      <c r="G169">
        <v>8</v>
      </c>
      <c r="H169">
        <v>3.2</v>
      </c>
      <c r="I169" t="b">
        <v>0</v>
      </c>
      <c r="J169">
        <v>24</v>
      </c>
      <c r="K169" t="s">
        <v>18</v>
      </c>
      <c r="L169" t="str" cm="1">
        <f t="array" ref="L169">_xlfn.IFS(
J169&lt;=15,"Active",
J169&lt;=30,"Warm",
J169&gt;30,"Inactive"
)</f>
        <v>Warm</v>
      </c>
      <c r="M169" t="str">
        <f t="shared" si="2"/>
        <v>Low Value</v>
      </c>
      <c r="N169" t="str" cm="1">
        <f t="array" ref="N169">_xlfn.IFS(
C169&lt;=28,"25-28",
C169&lt;=32,"29-32",
C169&lt;=36,"33-36",
C169&lt;=40,"37-40",
C169&lt;=45,"41-45"
)</f>
        <v>37-40</v>
      </c>
    </row>
    <row r="170" spans="1:14" x14ac:dyDescent="0.3">
      <c r="A170">
        <v>269</v>
      </c>
      <c r="B170" t="s">
        <v>11</v>
      </c>
      <c r="C170">
        <v>32</v>
      </c>
      <c r="D170" t="s">
        <v>12</v>
      </c>
      <c r="E170" t="s">
        <v>13</v>
      </c>
      <c r="F170">
        <v>1160.3</v>
      </c>
      <c r="G170">
        <v>14</v>
      </c>
      <c r="H170">
        <v>4.4000000000000004</v>
      </c>
      <c r="I170" t="b">
        <v>1</v>
      </c>
      <c r="J170">
        <v>22</v>
      </c>
      <c r="K170" t="s">
        <v>14</v>
      </c>
      <c r="L170" t="str" cm="1">
        <f t="array" ref="L170">_xlfn.IFS(
J170&lt;=15,"Active",
J170&lt;=30,"Warm",
J170&gt;30,"Inactive"
)</f>
        <v>Warm</v>
      </c>
      <c r="M170" t="str">
        <f t="shared" si="2"/>
        <v>High Value</v>
      </c>
      <c r="N170" t="str" cm="1">
        <f t="array" ref="N170">_xlfn.IFS(
C170&lt;=28,"25-28",
C170&lt;=32,"29-32",
C170&lt;=36,"33-36",
C170&lt;=40,"37-40",
C170&lt;=45,"41-45"
)</f>
        <v>29-32</v>
      </c>
    </row>
    <row r="171" spans="1:14" x14ac:dyDescent="0.3">
      <c r="A171">
        <v>270</v>
      </c>
      <c r="B171" t="s">
        <v>15</v>
      </c>
      <c r="C171">
        <v>34</v>
      </c>
      <c r="D171" t="s">
        <v>16</v>
      </c>
      <c r="E171" t="s">
        <v>17</v>
      </c>
      <c r="F171">
        <v>800.2</v>
      </c>
      <c r="G171">
        <v>11</v>
      </c>
      <c r="H171">
        <v>4.0999999999999996</v>
      </c>
      <c r="I171" t="b">
        <v>0</v>
      </c>
      <c r="J171">
        <v>17</v>
      </c>
      <c r="K171" t="s">
        <v>18</v>
      </c>
      <c r="L171" t="str" cm="1">
        <f t="array" ref="L171">_xlfn.IFS(
J171&lt;=15,"Active",
J171&lt;=30,"Warm",
J171&gt;30,"Inactive"
)</f>
        <v>Warm</v>
      </c>
      <c r="M171" t="str">
        <f t="shared" si="2"/>
        <v>Medium Value</v>
      </c>
      <c r="N171" t="str" cm="1">
        <f t="array" ref="N171">_xlfn.IFS(
C171&lt;=28,"25-28",
C171&lt;=32,"29-32",
C171&lt;=36,"33-36",
C171&lt;=40,"37-40",
C171&lt;=45,"41-45"
)</f>
        <v>33-36</v>
      </c>
    </row>
    <row r="172" spans="1:14" x14ac:dyDescent="0.3">
      <c r="A172">
        <v>271</v>
      </c>
      <c r="B172" t="s">
        <v>11</v>
      </c>
      <c r="C172">
        <v>43</v>
      </c>
      <c r="D172" t="s">
        <v>19</v>
      </c>
      <c r="E172" t="s">
        <v>20</v>
      </c>
      <c r="F172">
        <v>500.75</v>
      </c>
      <c r="G172">
        <v>10</v>
      </c>
      <c r="H172">
        <v>3.3</v>
      </c>
      <c r="I172" t="b">
        <v>1</v>
      </c>
      <c r="J172">
        <v>40</v>
      </c>
      <c r="K172" t="s">
        <v>21</v>
      </c>
      <c r="L172" t="str" cm="1">
        <f t="array" ref="L172">_xlfn.IFS(
J172&lt;=15,"Active",
J172&lt;=30,"Warm",
J172&gt;30,"Inactive"
)</f>
        <v>Inactive</v>
      </c>
      <c r="M172" t="str">
        <f t="shared" si="2"/>
        <v>Medium Value</v>
      </c>
      <c r="N172" t="str" cm="1">
        <f t="array" ref="N172">_xlfn.IFS(
C172&lt;=28,"25-28",
C172&lt;=32,"29-32",
C172&lt;=36,"33-36",
C172&lt;=40,"37-40",
C172&lt;=45,"41-45"
)</f>
        <v>41-45</v>
      </c>
    </row>
    <row r="173" spans="1:14" x14ac:dyDescent="0.3">
      <c r="A173">
        <v>272</v>
      </c>
      <c r="B173" t="s">
        <v>15</v>
      </c>
      <c r="C173">
        <v>30</v>
      </c>
      <c r="D173" t="s">
        <v>22</v>
      </c>
      <c r="E173" t="s">
        <v>13</v>
      </c>
      <c r="F173">
        <v>1460.5</v>
      </c>
      <c r="G173">
        <v>20</v>
      </c>
      <c r="H173">
        <v>4.8</v>
      </c>
      <c r="I173" t="b">
        <v>0</v>
      </c>
      <c r="J173">
        <v>12</v>
      </c>
      <c r="K173" t="s">
        <v>14</v>
      </c>
      <c r="L173" t="str" cm="1">
        <f t="array" ref="L173">_xlfn.IFS(
J173&lt;=15,"Active",
J173&lt;=30,"Warm",
J173&gt;30,"Inactive"
)</f>
        <v>Active</v>
      </c>
      <c r="M173" t="str">
        <f t="shared" si="2"/>
        <v>High Value</v>
      </c>
      <c r="N173" t="str" cm="1">
        <f t="array" ref="N173">_xlfn.IFS(
C173&lt;=28,"25-28",
C173&lt;=32,"29-32",
C173&lt;=36,"33-36",
C173&lt;=40,"37-40",
C173&lt;=45,"41-45"
)</f>
        <v>29-32</v>
      </c>
    </row>
    <row r="174" spans="1:14" x14ac:dyDescent="0.3">
      <c r="A174">
        <v>273</v>
      </c>
      <c r="B174" t="s">
        <v>15</v>
      </c>
      <c r="C174">
        <v>27</v>
      </c>
      <c r="D174" t="s">
        <v>23</v>
      </c>
      <c r="E174" t="s">
        <v>17</v>
      </c>
      <c r="F174">
        <v>700.4</v>
      </c>
      <c r="G174">
        <v>13</v>
      </c>
      <c r="H174">
        <v>4</v>
      </c>
      <c r="I174" t="b">
        <v>1</v>
      </c>
      <c r="J174">
        <v>53</v>
      </c>
      <c r="K174" t="s">
        <v>21</v>
      </c>
      <c r="L174" t="str" cm="1">
        <f t="array" ref="L174">_xlfn.IFS(
J174&lt;=15,"Active",
J174&lt;=30,"Warm",
J174&gt;30,"Inactive"
)</f>
        <v>Inactive</v>
      </c>
      <c r="M174" t="str">
        <f t="shared" si="2"/>
        <v>Medium Value</v>
      </c>
      <c r="N174" t="str" cm="1">
        <f t="array" ref="N174">_xlfn.IFS(
C174&lt;=28,"25-28",
C174&lt;=32,"29-32",
C174&lt;=36,"33-36",
C174&lt;=40,"37-40",
C174&lt;=45,"41-45"
)</f>
        <v>25-28</v>
      </c>
    </row>
    <row r="175" spans="1:14" x14ac:dyDescent="0.3">
      <c r="A175">
        <v>274</v>
      </c>
      <c r="B175" t="s">
        <v>11</v>
      </c>
      <c r="C175">
        <v>37</v>
      </c>
      <c r="D175" t="s">
        <v>24</v>
      </c>
      <c r="E175" t="s">
        <v>20</v>
      </c>
      <c r="F175">
        <v>430.8</v>
      </c>
      <c r="G175">
        <v>7</v>
      </c>
      <c r="H175">
        <v>3.4</v>
      </c>
      <c r="I175" t="b">
        <v>0</v>
      </c>
      <c r="J175">
        <v>23</v>
      </c>
      <c r="K175" t="s">
        <v>18</v>
      </c>
      <c r="L175" t="str" cm="1">
        <f t="array" ref="L175">_xlfn.IFS(
J175&lt;=15,"Active",
J175&lt;=30,"Warm",
J175&gt;30,"Inactive"
)</f>
        <v>Warm</v>
      </c>
      <c r="M175" t="str">
        <f t="shared" si="2"/>
        <v>Low Value</v>
      </c>
      <c r="N175" t="str" cm="1">
        <f t="array" ref="N175">_xlfn.IFS(
C175&lt;=28,"25-28",
C175&lt;=32,"29-32",
C175&lt;=36,"33-36",
C175&lt;=40,"37-40",
C175&lt;=45,"41-45"
)</f>
        <v>37-40</v>
      </c>
    </row>
    <row r="176" spans="1:14" x14ac:dyDescent="0.3">
      <c r="A176">
        <v>275</v>
      </c>
      <c r="B176" t="s">
        <v>11</v>
      </c>
      <c r="C176">
        <v>31</v>
      </c>
      <c r="D176" t="s">
        <v>12</v>
      </c>
      <c r="E176" t="s">
        <v>13</v>
      </c>
      <c r="F176">
        <v>1140.5999999999999</v>
      </c>
      <c r="G176">
        <v>15</v>
      </c>
      <c r="H176">
        <v>4.5</v>
      </c>
      <c r="I176" t="b">
        <v>1</v>
      </c>
      <c r="J176">
        <v>27</v>
      </c>
      <c r="K176" t="s">
        <v>14</v>
      </c>
      <c r="L176" t="str" cm="1">
        <f t="array" ref="L176">_xlfn.IFS(
J176&lt;=15,"Active",
J176&lt;=30,"Warm",
J176&gt;30,"Inactive"
)</f>
        <v>Warm</v>
      </c>
      <c r="M176" t="str">
        <f t="shared" si="2"/>
        <v>High Value</v>
      </c>
      <c r="N176" t="str" cm="1">
        <f t="array" ref="N176">_xlfn.IFS(
C176&lt;=28,"25-28",
C176&lt;=32,"29-32",
C176&lt;=36,"33-36",
C176&lt;=40,"37-40",
C176&lt;=45,"41-45"
)</f>
        <v>29-32</v>
      </c>
    </row>
    <row r="177" spans="1:14" x14ac:dyDescent="0.3">
      <c r="A177">
        <v>276</v>
      </c>
      <c r="B177" t="s">
        <v>15</v>
      </c>
      <c r="C177">
        <v>35</v>
      </c>
      <c r="D177" t="s">
        <v>16</v>
      </c>
      <c r="E177" t="s">
        <v>17</v>
      </c>
      <c r="F177">
        <v>820.9</v>
      </c>
      <c r="G177">
        <v>12</v>
      </c>
      <c r="H177">
        <v>4.3</v>
      </c>
      <c r="I177" t="b">
        <v>0</v>
      </c>
      <c r="J177">
        <v>12</v>
      </c>
      <c r="K177" t="s">
        <v>18</v>
      </c>
      <c r="L177" t="str" cm="1">
        <f t="array" ref="L177">_xlfn.IFS(
J177&lt;=15,"Active",
J177&lt;=30,"Warm",
J177&gt;30,"Inactive"
)</f>
        <v>Active</v>
      </c>
      <c r="M177" t="str">
        <f t="shared" si="2"/>
        <v>Medium Value</v>
      </c>
      <c r="N177" t="str" cm="1">
        <f t="array" ref="N177">_xlfn.IFS(
C177&lt;=28,"25-28",
C177&lt;=32,"29-32",
C177&lt;=36,"33-36",
C177&lt;=40,"37-40",
C177&lt;=45,"41-45"
)</f>
        <v>33-36</v>
      </c>
    </row>
    <row r="178" spans="1:14" x14ac:dyDescent="0.3">
      <c r="A178">
        <v>277</v>
      </c>
      <c r="B178" t="s">
        <v>11</v>
      </c>
      <c r="C178">
        <v>41</v>
      </c>
      <c r="D178" t="s">
        <v>19</v>
      </c>
      <c r="E178" t="s">
        <v>20</v>
      </c>
      <c r="F178">
        <v>480.25</v>
      </c>
      <c r="G178">
        <v>9</v>
      </c>
      <c r="H178">
        <v>3.6</v>
      </c>
      <c r="I178" t="b">
        <v>1</v>
      </c>
      <c r="J178">
        <v>38</v>
      </c>
      <c r="K178" t="s">
        <v>21</v>
      </c>
      <c r="L178" t="str" cm="1">
        <f t="array" ref="L178">_xlfn.IFS(
J178&lt;=15,"Active",
J178&lt;=30,"Warm",
J178&gt;30,"Inactive"
)</f>
        <v>Inactive</v>
      </c>
      <c r="M178" t="str">
        <f t="shared" si="2"/>
        <v>Low Value</v>
      </c>
      <c r="N178" t="str" cm="1">
        <f t="array" ref="N178">_xlfn.IFS(
C178&lt;=28,"25-28",
C178&lt;=32,"29-32",
C178&lt;=36,"33-36",
C178&lt;=40,"37-40",
C178&lt;=45,"41-45"
)</f>
        <v>41-45</v>
      </c>
    </row>
    <row r="179" spans="1:14" x14ac:dyDescent="0.3">
      <c r="A179">
        <v>278</v>
      </c>
      <c r="B179" t="s">
        <v>15</v>
      </c>
      <c r="C179">
        <v>28</v>
      </c>
      <c r="D179" t="s">
        <v>22</v>
      </c>
      <c r="E179" t="s">
        <v>13</v>
      </c>
      <c r="F179">
        <v>1490.1</v>
      </c>
      <c r="G179">
        <v>21</v>
      </c>
      <c r="H179">
        <v>4.9000000000000004</v>
      </c>
      <c r="I179" t="b">
        <v>0</v>
      </c>
      <c r="J179">
        <v>9</v>
      </c>
      <c r="K179" t="s">
        <v>14</v>
      </c>
      <c r="L179" t="str" cm="1">
        <f t="array" ref="L179">_xlfn.IFS(
J179&lt;=15,"Active",
J179&lt;=30,"Warm",
J179&gt;30,"Inactive"
)</f>
        <v>Active</v>
      </c>
      <c r="M179" t="str">
        <f t="shared" si="2"/>
        <v>High Value</v>
      </c>
      <c r="N179" t="str" cm="1">
        <f t="array" ref="N179">_xlfn.IFS(
C179&lt;=28,"25-28",
C179&lt;=32,"29-32",
C179&lt;=36,"33-36",
C179&lt;=40,"37-40",
C179&lt;=45,"41-45"
)</f>
        <v>25-28</v>
      </c>
    </row>
    <row r="180" spans="1:14" x14ac:dyDescent="0.3">
      <c r="A180">
        <v>279</v>
      </c>
      <c r="B180" t="s">
        <v>15</v>
      </c>
      <c r="C180">
        <v>32</v>
      </c>
      <c r="D180" t="s">
        <v>23</v>
      </c>
      <c r="E180" t="s">
        <v>17</v>
      </c>
      <c r="F180">
        <v>680.3</v>
      </c>
      <c r="G180">
        <v>10</v>
      </c>
      <c r="H180">
        <v>3.8</v>
      </c>
      <c r="I180" t="b">
        <v>1</v>
      </c>
      <c r="J180">
        <v>32</v>
      </c>
      <c r="K180" t="s">
        <v>21</v>
      </c>
      <c r="L180" t="str" cm="1">
        <f t="array" ref="L180">_xlfn.IFS(
J180&lt;=15,"Active",
J180&lt;=30,"Warm",
J180&gt;30,"Inactive"
)</f>
        <v>Inactive</v>
      </c>
      <c r="M180" t="str">
        <f t="shared" si="2"/>
        <v>Medium Value</v>
      </c>
      <c r="N180" t="str" cm="1">
        <f t="array" ref="N180">_xlfn.IFS(
C180&lt;=28,"25-28",
C180&lt;=32,"29-32",
C180&lt;=36,"33-36",
C180&lt;=40,"37-40",
C180&lt;=45,"41-45"
)</f>
        <v>29-32</v>
      </c>
    </row>
    <row r="181" spans="1:14" x14ac:dyDescent="0.3">
      <c r="A181">
        <v>280</v>
      </c>
      <c r="B181" t="s">
        <v>11</v>
      </c>
      <c r="C181">
        <v>36</v>
      </c>
      <c r="D181" t="s">
        <v>24</v>
      </c>
      <c r="E181" t="s">
        <v>20</v>
      </c>
      <c r="F181">
        <v>470.5</v>
      </c>
      <c r="G181">
        <v>8</v>
      </c>
      <c r="H181">
        <v>3</v>
      </c>
      <c r="I181" t="b">
        <v>0</v>
      </c>
      <c r="J181">
        <v>18</v>
      </c>
      <c r="K181" t="s">
        <v>18</v>
      </c>
      <c r="L181" t="str" cm="1">
        <f t="array" ref="L181">_xlfn.IFS(
J181&lt;=15,"Active",
J181&lt;=30,"Warm",
J181&gt;30,"Inactive"
)</f>
        <v>Warm</v>
      </c>
      <c r="M181" t="str">
        <f t="shared" si="2"/>
        <v>Low Value</v>
      </c>
      <c r="N181" t="str" cm="1">
        <f t="array" ref="N181">_xlfn.IFS(
C181&lt;=28,"25-28",
C181&lt;=32,"29-32",
C181&lt;=36,"33-36",
C181&lt;=40,"37-40",
C181&lt;=45,"41-45"
)</f>
        <v>33-36</v>
      </c>
    </row>
    <row r="182" spans="1:14" x14ac:dyDescent="0.3">
      <c r="A182">
        <v>281</v>
      </c>
      <c r="B182" t="s">
        <v>11</v>
      </c>
      <c r="C182">
        <v>30</v>
      </c>
      <c r="D182" t="s">
        <v>12</v>
      </c>
      <c r="E182" t="s">
        <v>13</v>
      </c>
      <c r="F182">
        <v>1180.8</v>
      </c>
      <c r="G182">
        <v>16</v>
      </c>
      <c r="H182">
        <v>4.7</v>
      </c>
      <c r="I182" t="b">
        <v>1</v>
      </c>
      <c r="J182">
        <v>19</v>
      </c>
      <c r="K182" t="s">
        <v>14</v>
      </c>
      <c r="L182" t="str" cm="1">
        <f t="array" ref="L182">_xlfn.IFS(
J182&lt;=15,"Active",
J182&lt;=30,"Warm",
J182&gt;30,"Inactive"
)</f>
        <v>Warm</v>
      </c>
      <c r="M182" t="str">
        <f t="shared" si="2"/>
        <v>High Value</v>
      </c>
      <c r="N182" t="str" cm="1">
        <f t="array" ref="N182">_xlfn.IFS(
C182&lt;=28,"25-28",
C182&lt;=32,"29-32",
C182&lt;=36,"33-36",
C182&lt;=40,"37-40",
C182&lt;=45,"41-45"
)</f>
        <v>29-32</v>
      </c>
    </row>
    <row r="183" spans="1:14" x14ac:dyDescent="0.3">
      <c r="A183">
        <v>282</v>
      </c>
      <c r="B183" t="s">
        <v>15</v>
      </c>
      <c r="C183">
        <v>34</v>
      </c>
      <c r="D183" t="s">
        <v>16</v>
      </c>
      <c r="E183" t="s">
        <v>17</v>
      </c>
      <c r="F183">
        <v>790.2</v>
      </c>
      <c r="G183">
        <v>11</v>
      </c>
      <c r="H183">
        <v>4</v>
      </c>
      <c r="I183" t="b">
        <v>0</v>
      </c>
      <c r="J183">
        <v>15</v>
      </c>
      <c r="K183" t="s">
        <v>18</v>
      </c>
      <c r="L183" t="str" cm="1">
        <f t="array" ref="L183">_xlfn.IFS(
J183&lt;=15,"Active",
J183&lt;=30,"Warm",
J183&gt;30,"Inactive"
)</f>
        <v>Active</v>
      </c>
      <c r="M183" t="str">
        <f t="shared" si="2"/>
        <v>Medium Value</v>
      </c>
      <c r="N183" t="str" cm="1">
        <f t="array" ref="N183">_xlfn.IFS(
C183&lt;=28,"25-28",
C183&lt;=32,"29-32",
C183&lt;=36,"33-36",
C183&lt;=40,"37-40",
C183&lt;=45,"41-45"
)</f>
        <v>33-36</v>
      </c>
    </row>
    <row r="184" spans="1:14" x14ac:dyDescent="0.3">
      <c r="A184">
        <v>283</v>
      </c>
      <c r="B184" t="s">
        <v>11</v>
      </c>
      <c r="C184">
        <v>43</v>
      </c>
      <c r="D184" t="s">
        <v>19</v>
      </c>
      <c r="E184" t="s">
        <v>20</v>
      </c>
      <c r="F184">
        <v>505.75</v>
      </c>
      <c r="G184">
        <v>10</v>
      </c>
      <c r="H184">
        <v>3.3</v>
      </c>
      <c r="I184" t="b">
        <v>1</v>
      </c>
      <c r="J184">
        <v>39</v>
      </c>
      <c r="K184" t="s">
        <v>21</v>
      </c>
      <c r="L184" t="str" cm="1">
        <f t="array" ref="L184">_xlfn.IFS(
J184&lt;=15,"Active",
J184&lt;=30,"Warm",
J184&gt;30,"Inactive"
)</f>
        <v>Inactive</v>
      </c>
      <c r="M184" t="str">
        <f t="shared" si="2"/>
        <v>Medium Value</v>
      </c>
      <c r="N184" t="str" cm="1">
        <f t="array" ref="N184">_xlfn.IFS(
C184&lt;=28,"25-28",
C184&lt;=32,"29-32",
C184&lt;=36,"33-36",
C184&lt;=40,"37-40",
C184&lt;=45,"41-45"
)</f>
        <v>41-45</v>
      </c>
    </row>
    <row r="185" spans="1:14" x14ac:dyDescent="0.3">
      <c r="A185">
        <v>284</v>
      </c>
      <c r="B185" t="s">
        <v>15</v>
      </c>
      <c r="C185">
        <v>30</v>
      </c>
      <c r="D185" t="s">
        <v>22</v>
      </c>
      <c r="E185" t="s">
        <v>13</v>
      </c>
      <c r="F185">
        <v>1470.5</v>
      </c>
      <c r="G185">
        <v>20</v>
      </c>
      <c r="H185">
        <v>4.8</v>
      </c>
      <c r="I185" t="b">
        <v>0</v>
      </c>
      <c r="J185">
        <v>13</v>
      </c>
      <c r="K185" t="s">
        <v>14</v>
      </c>
      <c r="L185" t="str" cm="1">
        <f t="array" ref="L185">_xlfn.IFS(
J185&lt;=15,"Active",
J185&lt;=30,"Warm",
J185&gt;30,"Inactive"
)</f>
        <v>Active</v>
      </c>
      <c r="M185" t="str">
        <f t="shared" si="2"/>
        <v>High Value</v>
      </c>
      <c r="N185" t="str" cm="1">
        <f t="array" ref="N185">_xlfn.IFS(
C185&lt;=28,"25-28",
C185&lt;=32,"29-32",
C185&lt;=36,"33-36",
C185&lt;=40,"37-40",
C185&lt;=45,"41-45"
)</f>
        <v>29-32</v>
      </c>
    </row>
    <row r="186" spans="1:14" x14ac:dyDescent="0.3">
      <c r="A186">
        <v>285</v>
      </c>
      <c r="B186" t="s">
        <v>15</v>
      </c>
      <c r="C186">
        <v>27</v>
      </c>
      <c r="D186" t="s">
        <v>23</v>
      </c>
      <c r="E186" t="s">
        <v>17</v>
      </c>
      <c r="F186">
        <v>710.4</v>
      </c>
      <c r="G186">
        <v>13</v>
      </c>
      <c r="H186">
        <v>4.0999999999999996</v>
      </c>
      <c r="I186" t="b">
        <v>1</v>
      </c>
      <c r="J186">
        <v>54</v>
      </c>
      <c r="K186" t="s">
        <v>21</v>
      </c>
      <c r="L186" t="str" cm="1">
        <f t="array" ref="L186">_xlfn.IFS(
J186&lt;=15,"Active",
J186&lt;=30,"Warm",
J186&gt;30,"Inactive"
)</f>
        <v>Inactive</v>
      </c>
      <c r="M186" t="str">
        <f t="shared" si="2"/>
        <v>Medium Value</v>
      </c>
      <c r="N186" t="str" cm="1">
        <f t="array" ref="N186">_xlfn.IFS(
C186&lt;=28,"25-28",
C186&lt;=32,"29-32",
C186&lt;=36,"33-36",
C186&lt;=40,"37-40",
C186&lt;=45,"41-45"
)</f>
        <v>25-28</v>
      </c>
    </row>
    <row r="187" spans="1:14" x14ac:dyDescent="0.3">
      <c r="A187">
        <v>286</v>
      </c>
      <c r="B187" t="s">
        <v>11</v>
      </c>
      <c r="C187">
        <v>37</v>
      </c>
      <c r="D187" t="s">
        <v>24</v>
      </c>
      <c r="E187" t="s">
        <v>20</v>
      </c>
      <c r="F187">
        <v>430.8</v>
      </c>
      <c r="G187">
        <v>7</v>
      </c>
      <c r="H187">
        <v>3.4</v>
      </c>
      <c r="I187" t="b">
        <v>0</v>
      </c>
      <c r="J187">
        <v>23</v>
      </c>
      <c r="K187" t="s">
        <v>18</v>
      </c>
      <c r="L187" t="str" cm="1">
        <f t="array" ref="L187">_xlfn.IFS(
J187&lt;=15,"Active",
J187&lt;=30,"Warm",
J187&gt;30,"Inactive"
)</f>
        <v>Warm</v>
      </c>
      <c r="M187" t="str">
        <f t="shared" si="2"/>
        <v>Low Value</v>
      </c>
      <c r="N187" t="str" cm="1">
        <f t="array" ref="N187">_xlfn.IFS(
C187&lt;=28,"25-28",
C187&lt;=32,"29-32",
C187&lt;=36,"33-36",
C187&lt;=40,"37-40",
C187&lt;=45,"41-45"
)</f>
        <v>37-40</v>
      </c>
    </row>
    <row r="188" spans="1:14" x14ac:dyDescent="0.3">
      <c r="A188">
        <v>287</v>
      </c>
      <c r="B188" t="s">
        <v>11</v>
      </c>
      <c r="C188">
        <v>31</v>
      </c>
      <c r="D188" t="s">
        <v>12</v>
      </c>
      <c r="E188" t="s">
        <v>13</v>
      </c>
      <c r="F188">
        <v>1130.5999999999999</v>
      </c>
      <c r="G188">
        <v>15</v>
      </c>
      <c r="H188">
        <v>4.5</v>
      </c>
      <c r="I188" t="b">
        <v>1</v>
      </c>
      <c r="J188">
        <v>26</v>
      </c>
      <c r="K188" t="s">
        <v>14</v>
      </c>
      <c r="L188" t="str" cm="1">
        <f t="array" ref="L188">_xlfn.IFS(
J188&lt;=15,"Active",
J188&lt;=30,"Warm",
J188&gt;30,"Inactive"
)</f>
        <v>Warm</v>
      </c>
      <c r="M188" t="str">
        <f t="shared" si="2"/>
        <v>High Value</v>
      </c>
      <c r="N188" t="str" cm="1">
        <f t="array" ref="N188">_xlfn.IFS(
C188&lt;=28,"25-28",
C188&lt;=32,"29-32",
C188&lt;=36,"33-36",
C188&lt;=40,"37-40",
C188&lt;=45,"41-45"
)</f>
        <v>29-32</v>
      </c>
    </row>
    <row r="189" spans="1:14" x14ac:dyDescent="0.3">
      <c r="A189">
        <v>288</v>
      </c>
      <c r="B189" t="s">
        <v>15</v>
      </c>
      <c r="C189">
        <v>35</v>
      </c>
      <c r="D189" t="s">
        <v>16</v>
      </c>
      <c r="E189" t="s">
        <v>17</v>
      </c>
      <c r="F189">
        <v>820.9</v>
      </c>
      <c r="G189">
        <v>12</v>
      </c>
      <c r="H189">
        <v>4.3</v>
      </c>
      <c r="I189" t="b">
        <v>0</v>
      </c>
      <c r="J189">
        <v>13</v>
      </c>
      <c r="K189" t="s">
        <v>18</v>
      </c>
      <c r="L189" t="str" cm="1">
        <f t="array" ref="L189">_xlfn.IFS(
J189&lt;=15,"Active",
J189&lt;=30,"Warm",
J189&gt;30,"Inactive"
)</f>
        <v>Active</v>
      </c>
      <c r="M189" t="str">
        <f t="shared" si="2"/>
        <v>Medium Value</v>
      </c>
      <c r="N189" t="str" cm="1">
        <f t="array" ref="N189">_xlfn.IFS(
C189&lt;=28,"25-28",
C189&lt;=32,"29-32",
C189&lt;=36,"33-36",
C189&lt;=40,"37-40",
C189&lt;=45,"41-45"
)</f>
        <v>33-36</v>
      </c>
    </row>
    <row r="190" spans="1:14" x14ac:dyDescent="0.3">
      <c r="A190">
        <v>289</v>
      </c>
      <c r="B190" t="s">
        <v>11</v>
      </c>
      <c r="C190">
        <v>41</v>
      </c>
      <c r="D190" t="s">
        <v>19</v>
      </c>
      <c r="E190" t="s">
        <v>20</v>
      </c>
      <c r="F190">
        <v>485.25</v>
      </c>
      <c r="G190">
        <v>9</v>
      </c>
      <c r="H190">
        <v>3.6</v>
      </c>
      <c r="I190" t="b">
        <v>1</v>
      </c>
      <c r="J190">
        <v>39</v>
      </c>
      <c r="K190" t="s">
        <v>21</v>
      </c>
      <c r="L190" t="str" cm="1">
        <f t="array" ref="L190">_xlfn.IFS(
J190&lt;=15,"Active",
J190&lt;=30,"Warm",
J190&gt;30,"Inactive"
)</f>
        <v>Inactive</v>
      </c>
      <c r="M190" t="str">
        <f t="shared" si="2"/>
        <v>Low Value</v>
      </c>
      <c r="N190" t="str" cm="1">
        <f t="array" ref="N190">_xlfn.IFS(
C190&lt;=28,"25-28",
C190&lt;=32,"29-32",
C190&lt;=36,"33-36",
C190&lt;=40,"37-40",
C190&lt;=45,"41-45"
)</f>
        <v>41-45</v>
      </c>
    </row>
    <row r="191" spans="1:14" x14ac:dyDescent="0.3">
      <c r="A191">
        <v>290</v>
      </c>
      <c r="B191" t="s">
        <v>15</v>
      </c>
      <c r="C191">
        <v>28</v>
      </c>
      <c r="D191" t="s">
        <v>22</v>
      </c>
      <c r="E191" t="s">
        <v>13</v>
      </c>
      <c r="F191">
        <v>1500.1</v>
      </c>
      <c r="G191">
        <v>21</v>
      </c>
      <c r="H191">
        <v>4.9000000000000004</v>
      </c>
      <c r="I191" t="b">
        <v>0</v>
      </c>
      <c r="J191">
        <v>10</v>
      </c>
      <c r="K191" t="s">
        <v>14</v>
      </c>
      <c r="L191" t="str" cm="1">
        <f t="array" ref="L191">_xlfn.IFS(
J191&lt;=15,"Active",
J191&lt;=30,"Warm",
J191&gt;30,"Inactive"
)</f>
        <v>Active</v>
      </c>
      <c r="M191" t="str">
        <f t="shared" si="2"/>
        <v>High Value</v>
      </c>
      <c r="N191" t="str" cm="1">
        <f t="array" ref="N191">_xlfn.IFS(
C191&lt;=28,"25-28",
C191&lt;=32,"29-32",
C191&lt;=36,"33-36",
C191&lt;=40,"37-40",
C191&lt;=45,"41-45"
)</f>
        <v>25-28</v>
      </c>
    </row>
    <row r="192" spans="1:14" x14ac:dyDescent="0.3">
      <c r="A192">
        <v>291</v>
      </c>
      <c r="B192" t="s">
        <v>15</v>
      </c>
      <c r="C192">
        <v>32</v>
      </c>
      <c r="D192" t="s">
        <v>23</v>
      </c>
      <c r="E192" t="s">
        <v>17</v>
      </c>
      <c r="F192">
        <v>670.3</v>
      </c>
      <c r="G192">
        <v>10</v>
      </c>
      <c r="H192">
        <v>3.8</v>
      </c>
      <c r="I192" t="b">
        <v>1</v>
      </c>
      <c r="J192">
        <v>33</v>
      </c>
      <c r="K192" t="s">
        <v>21</v>
      </c>
      <c r="L192" t="str" cm="1">
        <f t="array" ref="L192">_xlfn.IFS(
J192&lt;=15,"Active",
J192&lt;=30,"Warm",
J192&gt;30,"Inactive"
)</f>
        <v>Inactive</v>
      </c>
      <c r="M192" t="str">
        <f t="shared" si="2"/>
        <v>Medium Value</v>
      </c>
      <c r="N192" t="str" cm="1">
        <f t="array" ref="N192">_xlfn.IFS(
C192&lt;=28,"25-28",
C192&lt;=32,"29-32",
C192&lt;=36,"33-36",
C192&lt;=40,"37-40",
C192&lt;=45,"41-45"
)</f>
        <v>29-32</v>
      </c>
    </row>
    <row r="193" spans="1:14" x14ac:dyDescent="0.3">
      <c r="A193">
        <v>292</v>
      </c>
      <c r="B193" t="s">
        <v>11</v>
      </c>
      <c r="C193">
        <v>36</v>
      </c>
      <c r="D193" t="s">
        <v>24</v>
      </c>
      <c r="E193" t="s">
        <v>20</v>
      </c>
      <c r="F193">
        <v>460.5</v>
      </c>
      <c r="G193">
        <v>8</v>
      </c>
      <c r="H193">
        <v>3.1</v>
      </c>
      <c r="I193" t="b">
        <v>0</v>
      </c>
      <c r="J193">
        <v>19</v>
      </c>
      <c r="K193" t="s">
        <v>18</v>
      </c>
      <c r="L193" t="str" cm="1">
        <f t="array" ref="L193">_xlfn.IFS(
J193&lt;=15,"Active",
J193&lt;=30,"Warm",
J193&gt;30,"Inactive"
)</f>
        <v>Warm</v>
      </c>
      <c r="M193" t="str">
        <f t="shared" si="2"/>
        <v>Low Value</v>
      </c>
      <c r="N193" t="str" cm="1">
        <f t="array" ref="N193">_xlfn.IFS(
C193&lt;=28,"25-28",
C193&lt;=32,"29-32",
C193&lt;=36,"33-36",
C193&lt;=40,"37-40",
C193&lt;=45,"41-45"
)</f>
        <v>33-36</v>
      </c>
    </row>
    <row r="194" spans="1:14" x14ac:dyDescent="0.3">
      <c r="A194">
        <v>293</v>
      </c>
      <c r="B194" t="s">
        <v>11</v>
      </c>
      <c r="C194">
        <v>30</v>
      </c>
      <c r="D194" t="s">
        <v>12</v>
      </c>
      <c r="E194" t="s">
        <v>13</v>
      </c>
      <c r="F194">
        <v>1190.8</v>
      </c>
      <c r="G194">
        <v>16</v>
      </c>
      <c r="H194">
        <v>4.5</v>
      </c>
      <c r="I194" t="b">
        <v>1</v>
      </c>
      <c r="J194">
        <v>20</v>
      </c>
      <c r="K194" t="s">
        <v>14</v>
      </c>
      <c r="L194" t="str" cm="1">
        <f t="array" ref="L194">_xlfn.IFS(
J194&lt;=15,"Active",
J194&lt;=30,"Warm",
J194&gt;30,"Inactive"
)</f>
        <v>Warm</v>
      </c>
      <c r="M194" t="str">
        <f t="shared" ref="M194:M257" si="3">IF(F194&gt;1000,"High Value",
IF(F194&gt;500,"Medium Value","Low Value"))</f>
        <v>High Value</v>
      </c>
      <c r="N194" t="str" cm="1">
        <f t="array" ref="N194">_xlfn.IFS(
C194&lt;=28,"25-28",
C194&lt;=32,"29-32",
C194&lt;=36,"33-36",
C194&lt;=40,"37-40",
C194&lt;=45,"41-45"
)</f>
        <v>29-32</v>
      </c>
    </row>
    <row r="195" spans="1:14" x14ac:dyDescent="0.3">
      <c r="A195">
        <v>294</v>
      </c>
      <c r="B195" t="s">
        <v>15</v>
      </c>
      <c r="C195">
        <v>33</v>
      </c>
      <c r="D195" t="s">
        <v>16</v>
      </c>
      <c r="E195" t="s">
        <v>17</v>
      </c>
      <c r="F195">
        <v>830.75</v>
      </c>
      <c r="G195">
        <v>13</v>
      </c>
      <c r="H195">
        <v>4.2</v>
      </c>
      <c r="I195" t="b">
        <v>0</v>
      </c>
      <c r="J195">
        <v>14</v>
      </c>
      <c r="K195" t="s">
        <v>14</v>
      </c>
      <c r="L195" t="str" cm="1">
        <f t="array" ref="L195">_xlfn.IFS(
J195&lt;=15,"Active",
J195&lt;=30,"Warm",
J195&gt;30,"Inactive"
)</f>
        <v>Active</v>
      </c>
      <c r="M195" t="str">
        <f t="shared" si="3"/>
        <v>Medium Value</v>
      </c>
      <c r="N195" t="str" cm="1">
        <f t="array" ref="N195">_xlfn.IFS(
C195&lt;=28,"25-28",
C195&lt;=32,"29-32",
C195&lt;=36,"33-36",
C195&lt;=40,"37-40",
C195&lt;=45,"41-45"
)</f>
        <v>33-36</v>
      </c>
    </row>
    <row r="196" spans="1:14" x14ac:dyDescent="0.3">
      <c r="A196">
        <v>295</v>
      </c>
      <c r="B196" t="s">
        <v>11</v>
      </c>
      <c r="C196">
        <v>42</v>
      </c>
      <c r="D196" t="s">
        <v>19</v>
      </c>
      <c r="E196" t="s">
        <v>20</v>
      </c>
      <c r="F196">
        <v>520.4</v>
      </c>
      <c r="G196">
        <v>9</v>
      </c>
      <c r="H196">
        <v>3.5</v>
      </c>
      <c r="I196" t="b">
        <v>1</v>
      </c>
      <c r="J196">
        <v>37</v>
      </c>
      <c r="K196" t="s">
        <v>21</v>
      </c>
      <c r="L196" t="str" cm="1">
        <f t="array" ref="L196">_xlfn.IFS(
J196&lt;=15,"Active",
J196&lt;=30,"Warm",
J196&gt;30,"Inactive"
)</f>
        <v>Inactive</v>
      </c>
      <c r="M196" t="str">
        <f t="shared" si="3"/>
        <v>Medium Value</v>
      </c>
      <c r="N196" t="str" cm="1">
        <f t="array" ref="N196">_xlfn.IFS(
C196&lt;=28,"25-28",
C196&lt;=32,"29-32",
C196&lt;=36,"33-36",
C196&lt;=40,"37-40",
C196&lt;=45,"41-45"
)</f>
        <v>41-45</v>
      </c>
    </row>
    <row r="197" spans="1:14" x14ac:dyDescent="0.3">
      <c r="A197">
        <v>296</v>
      </c>
      <c r="B197" t="s">
        <v>15</v>
      </c>
      <c r="C197">
        <v>29</v>
      </c>
      <c r="D197" t="s">
        <v>22</v>
      </c>
      <c r="E197" t="s">
        <v>13</v>
      </c>
      <c r="F197">
        <v>1370.2</v>
      </c>
      <c r="G197">
        <v>18</v>
      </c>
      <c r="H197">
        <v>4.7</v>
      </c>
      <c r="I197" t="b">
        <v>0</v>
      </c>
      <c r="J197">
        <v>10</v>
      </c>
      <c r="K197" t="s">
        <v>14</v>
      </c>
      <c r="L197" t="str" cm="1">
        <f t="array" ref="L197">_xlfn.IFS(
J197&lt;=15,"Active",
J197&lt;=30,"Warm",
J197&gt;30,"Inactive"
)</f>
        <v>Active</v>
      </c>
      <c r="M197" t="str">
        <f t="shared" si="3"/>
        <v>High Value</v>
      </c>
      <c r="N197" t="str" cm="1">
        <f t="array" ref="N197">_xlfn.IFS(
C197&lt;=28,"25-28",
C197&lt;=32,"29-32",
C197&lt;=36,"33-36",
C197&lt;=40,"37-40",
C197&lt;=45,"41-45"
)</f>
        <v>29-32</v>
      </c>
    </row>
    <row r="198" spans="1:14" x14ac:dyDescent="0.3">
      <c r="A198">
        <v>297</v>
      </c>
      <c r="B198" t="s">
        <v>15</v>
      </c>
      <c r="C198">
        <v>26</v>
      </c>
      <c r="D198" t="s">
        <v>23</v>
      </c>
      <c r="E198" t="s">
        <v>17</v>
      </c>
      <c r="F198">
        <v>690.6</v>
      </c>
      <c r="G198">
        <v>12</v>
      </c>
      <c r="H198">
        <v>3.9</v>
      </c>
      <c r="I198" t="b">
        <v>1</v>
      </c>
      <c r="J198">
        <v>47</v>
      </c>
      <c r="K198" t="s">
        <v>21</v>
      </c>
      <c r="L198" t="str" cm="1">
        <f t="array" ref="L198">_xlfn.IFS(
J198&lt;=15,"Active",
J198&lt;=30,"Warm",
J198&gt;30,"Inactive"
)</f>
        <v>Inactive</v>
      </c>
      <c r="M198" t="str">
        <f t="shared" si="3"/>
        <v>Medium Value</v>
      </c>
      <c r="N198" t="str" cm="1">
        <f t="array" ref="N198">_xlfn.IFS(
C198&lt;=28,"25-28",
C198&lt;=32,"29-32",
C198&lt;=36,"33-36",
C198&lt;=40,"37-40",
C198&lt;=45,"41-45"
)</f>
        <v>25-28</v>
      </c>
    </row>
    <row r="199" spans="1:14" x14ac:dyDescent="0.3">
      <c r="A199">
        <v>298</v>
      </c>
      <c r="B199" t="s">
        <v>11</v>
      </c>
      <c r="C199">
        <v>38</v>
      </c>
      <c r="D199" t="s">
        <v>24</v>
      </c>
      <c r="E199" t="s">
        <v>20</v>
      </c>
      <c r="F199">
        <v>440.9</v>
      </c>
      <c r="G199">
        <v>8</v>
      </c>
      <c r="H199">
        <v>3.2</v>
      </c>
      <c r="I199" t="b">
        <v>0</v>
      </c>
      <c r="J199">
        <v>24</v>
      </c>
      <c r="K199" t="s">
        <v>18</v>
      </c>
      <c r="L199" t="str" cm="1">
        <f t="array" ref="L199">_xlfn.IFS(
J199&lt;=15,"Active",
J199&lt;=30,"Warm",
J199&gt;30,"Inactive"
)</f>
        <v>Warm</v>
      </c>
      <c r="M199" t="str">
        <f t="shared" si="3"/>
        <v>Low Value</v>
      </c>
      <c r="N199" t="str" cm="1">
        <f t="array" ref="N199">_xlfn.IFS(
C199&lt;=28,"25-28",
C199&lt;=32,"29-32",
C199&lt;=36,"33-36",
C199&lt;=40,"37-40",
C199&lt;=45,"41-45"
)</f>
        <v>37-40</v>
      </c>
    </row>
    <row r="200" spans="1:14" x14ac:dyDescent="0.3">
      <c r="A200">
        <v>299</v>
      </c>
      <c r="B200" t="s">
        <v>11</v>
      </c>
      <c r="C200">
        <v>32</v>
      </c>
      <c r="D200" t="s">
        <v>12</v>
      </c>
      <c r="E200" t="s">
        <v>13</v>
      </c>
      <c r="F200">
        <v>1160.3</v>
      </c>
      <c r="G200">
        <v>14</v>
      </c>
      <c r="H200">
        <v>4.4000000000000004</v>
      </c>
      <c r="I200" t="b">
        <v>1</v>
      </c>
      <c r="J200">
        <v>22</v>
      </c>
      <c r="K200" t="s">
        <v>14</v>
      </c>
      <c r="L200" t="str" cm="1">
        <f t="array" ref="L200">_xlfn.IFS(
J200&lt;=15,"Active",
J200&lt;=30,"Warm",
J200&gt;30,"Inactive"
)</f>
        <v>Warm</v>
      </c>
      <c r="M200" t="str">
        <f t="shared" si="3"/>
        <v>High Value</v>
      </c>
      <c r="N200" t="str" cm="1">
        <f t="array" ref="N200">_xlfn.IFS(
C200&lt;=28,"25-28",
C200&lt;=32,"29-32",
C200&lt;=36,"33-36",
C200&lt;=40,"37-40",
C200&lt;=45,"41-45"
)</f>
        <v>29-32</v>
      </c>
    </row>
    <row r="201" spans="1:14" x14ac:dyDescent="0.3">
      <c r="A201">
        <v>300</v>
      </c>
      <c r="B201" t="s">
        <v>15</v>
      </c>
      <c r="C201">
        <v>34</v>
      </c>
      <c r="D201" t="s">
        <v>16</v>
      </c>
      <c r="E201" t="s">
        <v>17</v>
      </c>
      <c r="F201">
        <v>800.2</v>
      </c>
      <c r="G201">
        <v>11</v>
      </c>
      <c r="H201">
        <v>4.0999999999999996</v>
      </c>
      <c r="I201" t="b">
        <v>0</v>
      </c>
      <c r="J201">
        <v>17</v>
      </c>
      <c r="K201" t="s">
        <v>18</v>
      </c>
      <c r="L201" t="str" cm="1">
        <f t="array" ref="L201">_xlfn.IFS(
J201&lt;=15,"Active",
J201&lt;=30,"Warm",
J201&gt;30,"Inactive"
)</f>
        <v>Warm</v>
      </c>
      <c r="M201" t="str">
        <f t="shared" si="3"/>
        <v>Medium Value</v>
      </c>
      <c r="N201" t="str" cm="1">
        <f t="array" ref="N201">_xlfn.IFS(
C201&lt;=28,"25-28",
C201&lt;=32,"29-32",
C201&lt;=36,"33-36",
C201&lt;=40,"37-40",
C201&lt;=45,"41-45"
)</f>
        <v>33-36</v>
      </c>
    </row>
    <row r="202" spans="1:14" x14ac:dyDescent="0.3">
      <c r="A202">
        <v>301</v>
      </c>
      <c r="B202" t="s">
        <v>15</v>
      </c>
      <c r="C202">
        <v>36</v>
      </c>
      <c r="D202" t="s">
        <v>22</v>
      </c>
      <c r="E202" t="s">
        <v>13</v>
      </c>
      <c r="F202">
        <v>1420.8</v>
      </c>
      <c r="G202">
        <v>19</v>
      </c>
      <c r="H202">
        <v>4.5999999999999996</v>
      </c>
      <c r="I202" t="b">
        <v>0</v>
      </c>
      <c r="J202">
        <v>11</v>
      </c>
      <c r="K202" t="s">
        <v>14</v>
      </c>
      <c r="L202" t="str" cm="1">
        <f t="array" ref="L202">_xlfn.IFS(
J202&lt;=15,"Active",
J202&lt;=30,"Warm",
J202&gt;30,"Inactive"
)</f>
        <v>Active</v>
      </c>
      <c r="M202" t="str">
        <f t="shared" si="3"/>
        <v>High Value</v>
      </c>
      <c r="N202" t="str" cm="1">
        <f t="array" ref="N202">_xlfn.IFS(
C202&lt;=28,"25-28",
C202&lt;=32,"29-32",
C202&lt;=36,"33-36",
C202&lt;=40,"37-40",
C202&lt;=45,"41-45"
)</f>
        <v>33-36</v>
      </c>
    </row>
    <row r="203" spans="1:14" x14ac:dyDescent="0.3">
      <c r="A203">
        <v>302</v>
      </c>
      <c r="B203" t="s">
        <v>11</v>
      </c>
      <c r="C203">
        <v>29</v>
      </c>
      <c r="D203" t="s">
        <v>23</v>
      </c>
      <c r="E203" t="s">
        <v>17</v>
      </c>
      <c r="F203">
        <v>730.4</v>
      </c>
      <c r="G203">
        <v>14</v>
      </c>
      <c r="H203">
        <v>4</v>
      </c>
      <c r="I203" t="b">
        <v>1</v>
      </c>
      <c r="J203">
        <v>50</v>
      </c>
      <c r="K203" t="s">
        <v>21</v>
      </c>
      <c r="L203" t="str" cm="1">
        <f t="array" ref="L203">_xlfn.IFS(
J203&lt;=15,"Active",
J203&lt;=30,"Warm",
J203&gt;30,"Inactive"
)</f>
        <v>Inactive</v>
      </c>
      <c r="M203" t="str">
        <f t="shared" si="3"/>
        <v>Medium Value</v>
      </c>
      <c r="N203" t="str" cm="1">
        <f t="array" ref="N203">_xlfn.IFS(
C203&lt;=28,"25-28",
C203&lt;=32,"29-32",
C203&lt;=36,"33-36",
C203&lt;=40,"37-40",
C203&lt;=45,"41-45"
)</f>
        <v>29-32</v>
      </c>
    </row>
    <row r="204" spans="1:14" x14ac:dyDescent="0.3">
      <c r="A204">
        <v>303</v>
      </c>
      <c r="B204" t="s">
        <v>11</v>
      </c>
      <c r="C204">
        <v>35</v>
      </c>
      <c r="D204" t="s">
        <v>24</v>
      </c>
      <c r="E204" t="s">
        <v>20</v>
      </c>
      <c r="F204">
        <v>450.6</v>
      </c>
      <c r="G204">
        <v>7</v>
      </c>
      <c r="H204">
        <v>3.3</v>
      </c>
      <c r="I204" t="b">
        <v>0</v>
      </c>
      <c r="J204">
        <v>21</v>
      </c>
      <c r="K204" t="s">
        <v>18</v>
      </c>
      <c r="L204" t="str" cm="1">
        <f t="array" ref="L204">_xlfn.IFS(
J204&lt;=15,"Active",
J204&lt;=30,"Warm",
J204&gt;30,"Inactive"
)</f>
        <v>Warm</v>
      </c>
      <c r="M204" t="str">
        <f t="shared" si="3"/>
        <v>Low Value</v>
      </c>
      <c r="N204" t="str" cm="1">
        <f t="array" ref="N204">_xlfn.IFS(
C204&lt;=28,"25-28",
C204&lt;=32,"29-32",
C204&lt;=36,"33-36",
C204&lt;=40,"37-40",
C204&lt;=45,"41-45"
)</f>
        <v>33-36</v>
      </c>
    </row>
    <row r="205" spans="1:14" x14ac:dyDescent="0.3">
      <c r="A205">
        <v>304</v>
      </c>
      <c r="B205" t="s">
        <v>15</v>
      </c>
      <c r="C205">
        <v>31</v>
      </c>
      <c r="D205" t="s">
        <v>12</v>
      </c>
      <c r="E205" t="s">
        <v>13</v>
      </c>
      <c r="F205">
        <v>1210.5999999999999</v>
      </c>
      <c r="G205">
        <v>17</v>
      </c>
      <c r="H205">
        <v>4.8</v>
      </c>
      <c r="I205" t="b">
        <v>1</v>
      </c>
      <c r="J205">
        <v>18</v>
      </c>
      <c r="K205" t="s">
        <v>14</v>
      </c>
      <c r="L205" t="str" cm="1">
        <f t="array" ref="L205">_xlfn.IFS(
J205&lt;=15,"Active",
J205&lt;=30,"Warm",
J205&gt;30,"Inactive"
)</f>
        <v>Warm</v>
      </c>
      <c r="M205" t="str">
        <f t="shared" si="3"/>
        <v>High Value</v>
      </c>
      <c r="N205" t="str" cm="1">
        <f t="array" ref="N205">_xlfn.IFS(
C205&lt;=28,"25-28",
C205&lt;=32,"29-32",
C205&lt;=36,"33-36",
C205&lt;=40,"37-40",
C205&lt;=45,"41-45"
)</f>
        <v>29-32</v>
      </c>
    </row>
    <row r="206" spans="1:14" x14ac:dyDescent="0.3">
      <c r="A206">
        <v>305</v>
      </c>
      <c r="B206" t="s">
        <v>15</v>
      </c>
      <c r="C206">
        <v>27</v>
      </c>
      <c r="D206" t="s">
        <v>16</v>
      </c>
      <c r="E206" t="s">
        <v>17</v>
      </c>
      <c r="F206">
        <v>780.9</v>
      </c>
      <c r="G206">
        <v>11</v>
      </c>
      <c r="H206">
        <v>4.2</v>
      </c>
      <c r="I206" t="b">
        <v>0</v>
      </c>
      <c r="J206">
        <v>16</v>
      </c>
      <c r="K206" t="s">
        <v>18</v>
      </c>
      <c r="L206" t="str" cm="1">
        <f t="array" ref="L206">_xlfn.IFS(
J206&lt;=15,"Active",
J206&lt;=30,"Warm",
J206&gt;30,"Inactive"
)</f>
        <v>Warm</v>
      </c>
      <c r="M206" t="str">
        <f t="shared" si="3"/>
        <v>Medium Value</v>
      </c>
      <c r="N206" t="str" cm="1">
        <f t="array" ref="N206">_xlfn.IFS(
C206&lt;=28,"25-28",
C206&lt;=32,"29-32",
C206&lt;=36,"33-36",
C206&lt;=40,"37-40",
C206&lt;=45,"41-45"
)</f>
        <v>25-28</v>
      </c>
    </row>
    <row r="207" spans="1:14" x14ac:dyDescent="0.3">
      <c r="A207">
        <v>306</v>
      </c>
      <c r="B207" t="s">
        <v>11</v>
      </c>
      <c r="C207">
        <v>42</v>
      </c>
      <c r="D207" t="s">
        <v>19</v>
      </c>
      <c r="E207" t="s">
        <v>20</v>
      </c>
      <c r="F207">
        <v>495.25</v>
      </c>
      <c r="G207">
        <v>10</v>
      </c>
      <c r="H207">
        <v>3.5</v>
      </c>
      <c r="I207" t="b">
        <v>1</v>
      </c>
      <c r="J207">
        <v>35</v>
      </c>
      <c r="K207" t="s">
        <v>21</v>
      </c>
      <c r="L207" t="str" cm="1">
        <f t="array" ref="L207">_xlfn.IFS(
J207&lt;=15,"Active",
J207&lt;=30,"Warm",
J207&gt;30,"Inactive"
)</f>
        <v>Inactive</v>
      </c>
      <c r="M207" t="str">
        <f t="shared" si="3"/>
        <v>Low Value</v>
      </c>
      <c r="N207" t="str" cm="1">
        <f t="array" ref="N207">_xlfn.IFS(
C207&lt;=28,"25-28",
C207&lt;=32,"29-32",
C207&lt;=36,"33-36",
C207&lt;=40,"37-40",
C207&lt;=45,"41-45"
)</f>
        <v>41-45</v>
      </c>
    </row>
    <row r="208" spans="1:14" x14ac:dyDescent="0.3">
      <c r="A208">
        <v>307</v>
      </c>
      <c r="B208" t="s">
        <v>15</v>
      </c>
      <c r="C208">
        <v>29</v>
      </c>
      <c r="D208" t="s">
        <v>22</v>
      </c>
      <c r="E208" t="s">
        <v>13</v>
      </c>
      <c r="F208">
        <v>1390.2</v>
      </c>
      <c r="G208">
        <v>18</v>
      </c>
      <c r="H208">
        <v>4.7</v>
      </c>
      <c r="I208" t="b">
        <v>0</v>
      </c>
      <c r="J208">
        <v>9</v>
      </c>
      <c r="K208" t="s">
        <v>14</v>
      </c>
      <c r="L208" t="str" cm="1">
        <f t="array" ref="L208">_xlfn.IFS(
J208&lt;=15,"Active",
J208&lt;=30,"Warm",
J208&gt;30,"Inactive"
)</f>
        <v>Active</v>
      </c>
      <c r="M208" t="str">
        <f t="shared" si="3"/>
        <v>High Value</v>
      </c>
      <c r="N208" t="str" cm="1">
        <f t="array" ref="N208">_xlfn.IFS(
C208&lt;=28,"25-28",
C208&lt;=32,"29-32",
C208&lt;=36,"33-36",
C208&lt;=40,"37-40",
C208&lt;=45,"41-45"
)</f>
        <v>29-32</v>
      </c>
    </row>
    <row r="209" spans="1:14" x14ac:dyDescent="0.3">
      <c r="A209">
        <v>308</v>
      </c>
      <c r="B209" t="s">
        <v>15</v>
      </c>
      <c r="C209">
        <v>26</v>
      </c>
      <c r="D209" t="s">
        <v>23</v>
      </c>
      <c r="E209" t="s">
        <v>17</v>
      </c>
      <c r="F209">
        <v>670.6</v>
      </c>
      <c r="G209">
        <v>12</v>
      </c>
      <c r="H209">
        <v>3.9</v>
      </c>
      <c r="I209" t="b">
        <v>1</v>
      </c>
      <c r="J209">
        <v>46</v>
      </c>
      <c r="K209" t="s">
        <v>21</v>
      </c>
      <c r="L209" t="str" cm="1">
        <f t="array" ref="L209">_xlfn.IFS(
J209&lt;=15,"Active",
J209&lt;=30,"Warm",
J209&gt;30,"Inactive"
)</f>
        <v>Inactive</v>
      </c>
      <c r="M209" t="str">
        <f t="shared" si="3"/>
        <v>Medium Value</v>
      </c>
      <c r="N209" t="str" cm="1">
        <f t="array" ref="N209">_xlfn.IFS(
C209&lt;=28,"25-28",
C209&lt;=32,"29-32",
C209&lt;=36,"33-36",
C209&lt;=40,"37-40",
C209&lt;=45,"41-45"
)</f>
        <v>25-28</v>
      </c>
    </row>
    <row r="210" spans="1:14" x14ac:dyDescent="0.3">
      <c r="A210">
        <v>309</v>
      </c>
      <c r="B210" t="s">
        <v>11</v>
      </c>
      <c r="C210">
        <v>38</v>
      </c>
      <c r="D210" t="s">
        <v>24</v>
      </c>
      <c r="E210" t="s">
        <v>20</v>
      </c>
      <c r="F210">
        <v>460.9</v>
      </c>
      <c r="G210">
        <v>8</v>
      </c>
      <c r="H210">
        <v>3.2</v>
      </c>
      <c r="I210" t="b">
        <v>0</v>
      </c>
      <c r="J210">
        <v>25</v>
      </c>
      <c r="K210" t="s">
        <v>18</v>
      </c>
      <c r="L210" t="str" cm="1">
        <f t="array" ref="L210">_xlfn.IFS(
J210&lt;=15,"Active",
J210&lt;=30,"Warm",
J210&gt;30,"Inactive"
)</f>
        <v>Warm</v>
      </c>
      <c r="M210" t="str">
        <f t="shared" si="3"/>
        <v>Low Value</v>
      </c>
      <c r="N210" t="str" cm="1">
        <f t="array" ref="N210">_xlfn.IFS(
C210&lt;=28,"25-28",
C210&lt;=32,"29-32",
C210&lt;=36,"33-36",
C210&lt;=40,"37-40",
C210&lt;=45,"41-45"
)</f>
        <v>37-40</v>
      </c>
    </row>
    <row r="211" spans="1:14" x14ac:dyDescent="0.3">
      <c r="A211">
        <v>310</v>
      </c>
      <c r="B211" t="s">
        <v>11</v>
      </c>
      <c r="C211">
        <v>32</v>
      </c>
      <c r="D211" t="s">
        <v>12</v>
      </c>
      <c r="E211" t="s">
        <v>13</v>
      </c>
      <c r="F211">
        <v>1170.3</v>
      </c>
      <c r="G211">
        <v>14</v>
      </c>
      <c r="H211">
        <v>4.5</v>
      </c>
      <c r="I211" t="b">
        <v>1</v>
      </c>
      <c r="J211">
        <v>21</v>
      </c>
      <c r="K211" t="s">
        <v>14</v>
      </c>
      <c r="L211" t="str" cm="1">
        <f t="array" ref="L211">_xlfn.IFS(
J211&lt;=15,"Active",
J211&lt;=30,"Warm",
J211&gt;30,"Inactive"
)</f>
        <v>Warm</v>
      </c>
      <c r="M211" t="str">
        <f t="shared" si="3"/>
        <v>High Value</v>
      </c>
      <c r="N211" t="str" cm="1">
        <f t="array" ref="N211">_xlfn.IFS(
C211&lt;=28,"25-28",
C211&lt;=32,"29-32",
C211&lt;=36,"33-36",
C211&lt;=40,"37-40",
C211&lt;=45,"41-45"
)</f>
        <v>29-32</v>
      </c>
    </row>
    <row r="212" spans="1:14" x14ac:dyDescent="0.3">
      <c r="A212">
        <v>311</v>
      </c>
      <c r="B212" t="s">
        <v>15</v>
      </c>
      <c r="C212">
        <v>34</v>
      </c>
      <c r="D212" t="s">
        <v>16</v>
      </c>
      <c r="E212" t="s">
        <v>17</v>
      </c>
      <c r="F212">
        <v>810.2</v>
      </c>
      <c r="G212">
        <v>11</v>
      </c>
      <c r="H212">
        <v>4</v>
      </c>
      <c r="I212" t="b">
        <v>0</v>
      </c>
      <c r="J212">
        <v>14</v>
      </c>
      <c r="K212" t="s">
        <v>18</v>
      </c>
      <c r="L212" t="str" cm="1">
        <f t="array" ref="L212">_xlfn.IFS(
J212&lt;=15,"Active",
J212&lt;=30,"Warm",
J212&gt;30,"Inactive"
)</f>
        <v>Active</v>
      </c>
      <c r="M212" t="str">
        <f t="shared" si="3"/>
        <v>Medium Value</v>
      </c>
      <c r="N212" t="str" cm="1">
        <f t="array" ref="N212">_xlfn.IFS(
C212&lt;=28,"25-28",
C212&lt;=32,"29-32",
C212&lt;=36,"33-36",
C212&lt;=40,"37-40",
C212&lt;=45,"41-45"
)</f>
        <v>33-36</v>
      </c>
    </row>
    <row r="213" spans="1:14" x14ac:dyDescent="0.3">
      <c r="A213">
        <v>312</v>
      </c>
      <c r="B213" t="s">
        <v>11</v>
      </c>
      <c r="C213">
        <v>43</v>
      </c>
      <c r="D213" t="s">
        <v>19</v>
      </c>
      <c r="E213" t="s">
        <v>20</v>
      </c>
      <c r="F213">
        <v>515.75</v>
      </c>
      <c r="G213">
        <v>9</v>
      </c>
      <c r="H213">
        <v>3.3</v>
      </c>
      <c r="I213" t="b">
        <v>1</v>
      </c>
      <c r="J213">
        <v>38</v>
      </c>
      <c r="K213" t="s">
        <v>21</v>
      </c>
      <c r="L213" t="str" cm="1">
        <f t="array" ref="L213">_xlfn.IFS(
J213&lt;=15,"Active",
J213&lt;=30,"Warm",
J213&gt;30,"Inactive"
)</f>
        <v>Inactive</v>
      </c>
      <c r="M213" t="str">
        <f t="shared" si="3"/>
        <v>Medium Value</v>
      </c>
      <c r="N213" t="str" cm="1">
        <f t="array" ref="N213">_xlfn.IFS(
C213&lt;=28,"25-28",
C213&lt;=32,"29-32",
C213&lt;=36,"33-36",
C213&lt;=40,"37-40",
C213&lt;=45,"41-45"
)</f>
        <v>41-45</v>
      </c>
    </row>
    <row r="214" spans="1:14" x14ac:dyDescent="0.3">
      <c r="A214">
        <v>313</v>
      </c>
      <c r="B214" t="s">
        <v>15</v>
      </c>
      <c r="C214">
        <v>30</v>
      </c>
      <c r="D214" t="s">
        <v>22</v>
      </c>
      <c r="E214" t="s">
        <v>13</v>
      </c>
      <c r="F214">
        <v>1450.5</v>
      </c>
      <c r="G214">
        <v>20</v>
      </c>
      <c r="H214">
        <v>4.8</v>
      </c>
      <c r="I214" t="b">
        <v>0</v>
      </c>
      <c r="J214">
        <v>12</v>
      </c>
      <c r="K214" t="s">
        <v>14</v>
      </c>
      <c r="L214" t="str" cm="1">
        <f t="array" ref="L214">_xlfn.IFS(
J214&lt;=15,"Active",
J214&lt;=30,"Warm",
J214&gt;30,"Inactive"
)</f>
        <v>Active</v>
      </c>
      <c r="M214" t="str">
        <f t="shared" si="3"/>
        <v>High Value</v>
      </c>
      <c r="N214" t="str" cm="1">
        <f t="array" ref="N214">_xlfn.IFS(
C214&lt;=28,"25-28",
C214&lt;=32,"29-32",
C214&lt;=36,"33-36",
C214&lt;=40,"37-40",
C214&lt;=45,"41-45"
)</f>
        <v>29-32</v>
      </c>
    </row>
    <row r="215" spans="1:14" x14ac:dyDescent="0.3">
      <c r="A215">
        <v>314</v>
      </c>
      <c r="B215" t="s">
        <v>15</v>
      </c>
      <c r="C215">
        <v>27</v>
      </c>
      <c r="D215" t="s">
        <v>23</v>
      </c>
      <c r="E215" t="s">
        <v>17</v>
      </c>
      <c r="F215">
        <v>690.4</v>
      </c>
      <c r="G215">
        <v>13</v>
      </c>
      <c r="H215">
        <v>4.0999999999999996</v>
      </c>
      <c r="I215" t="b">
        <v>1</v>
      </c>
      <c r="J215">
        <v>52</v>
      </c>
      <c r="K215" t="s">
        <v>21</v>
      </c>
      <c r="L215" t="str" cm="1">
        <f t="array" ref="L215">_xlfn.IFS(
J215&lt;=15,"Active",
J215&lt;=30,"Warm",
J215&gt;30,"Inactive"
)</f>
        <v>Inactive</v>
      </c>
      <c r="M215" t="str">
        <f t="shared" si="3"/>
        <v>Medium Value</v>
      </c>
      <c r="N215" t="str" cm="1">
        <f t="array" ref="N215">_xlfn.IFS(
C215&lt;=28,"25-28",
C215&lt;=32,"29-32",
C215&lt;=36,"33-36",
C215&lt;=40,"37-40",
C215&lt;=45,"41-45"
)</f>
        <v>25-28</v>
      </c>
    </row>
    <row r="216" spans="1:14" x14ac:dyDescent="0.3">
      <c r="A216">
        <v>315</v>
      </c>
      <c r="B216" t="s">
        <v>11</v>
      </c>
      <c r="C216">
        <v>37</v>
      </c>
      <c r="D216" t="s">
        <v>24</v>
      </c>
      <c r="E216" t="s">
        <v>20</v>
      </c>
      <c r="F216">
        <v>420.8</v>
      </c>
      <c r="G216">
        <v>7</v>
      </c>
      <c r="H216">
        <v>3.4</v>
      </c>
      <c r="I216" t="b">
        <v>0</v>
      </c>
      <c r="J216">
        <v>24</v>
      </c>
      <c r="K216" t="s">
        <v>18</v>
      </c>
      <c r="L216" t="str" cm="1">
        <f t="array" ref="L216">_xlfn.IFS(
J216&lt;=15,"Active",
J216&lt;=30,"Warm",
J216&gt;30,"Inactive"
)</f>
        <v>Warm</v>
      </c>
      <c r="M216" t="str">
        <f t="shared" si="3"/>
        <v>Low Value</v>
      </c>
      <c r="N216" t="str" cm="1">
        <f t="array" ref="N216">_xlfn.IFS(
C216&lt;=28,"25-28",
C216&lt;=32,"29-32",
C216&lt;=36,"33-36",
C216&lt;=40,"37-40",
C216&lt;=45,"41-45"
)</f>
        <v>37-40</v>
      </c>
    </row>
    <row r="217" spans="1:14" x14ac:dyDescent="0.3">
      <c r="A217">
        <v>316</v>
      </c>
      <c r="B217" t="s">
        <v>11</v>
      </c>
      <c r="C217">
        <v>31</v>
      </c>
      <c r="D217" t="s">
        <v>12</v>
      </c>
      <c r="E217" t="s">
        <v>13</v>
      </c>
      <c r="F217">
        <v>1130.5999999999999</v>
      </c>
      <c r="G217">
        <v>15</v>
      </c>
      <c r="H217">
        <v>4.5</v>
      </c>
      <c r="I217" t="b">
        <v>1</v>
      </c>
      <c r="J217">
        <v>26</v>
      </c>
      <c r="K217" t="s">
        <v>14</v>
      </c>
      <c r="L217" t="str" cm="1">
        <f t="array" ref="L217">_xlfn.IFS(
J217&lt;=15,"Active",
J217&lt;=30,"Warm",
J217&gt;30,"Inactive"
)</f>
        <v>Warm</v>
      </c>
      <c r="M217" t="str">
        <f t="shared" si="3"/>
        <v>High Value</v>
      </c>
      <c r="N217" t="str" cm="1">
        <f t="array" ref="N217">_xlfn.IFS(
C217&lt;=28,"25-28",
C217&lt;=32,"29-32",
C217&lt;=36,"33-36",
C217&lt;=40,"37-40",
C217&lt;=45,"41-45"
)</f>
        <v>29-32</v>
      </c>
    </row>
    <row r="218" spans="1:14" x14ac:dyDescent="0.3">
      <c r="A218">
        <v>317</v>
      </c>
      <c r="B218" t="s">
        <v>15</v>
      </c>
      <c r="C218">
        <v>35</v>
      </c>
      <c r="D218" t="s">
        <v>16</v>
      </c>
      <c r="E218" t="s">
        <v>17</v>
      </c>
      <c r="F218">
        <v>820.9</v>
      </c>
      <c r="G218">
        <v>12</v>
      </c>
      <c r="H218">
        <v>4.3</v>
      </c>
      <c r="I218" t="b">
        <v>0</v>
      </c>
      <c r="J218">
        <v>13</v>
      </c>
      <c r="K218" t="s">
        <v>18</v>
      </c>
      <c r="L218" t="str" cm="1">
        <f t="array" ref="L218">_xlfn.IFS(
J218&lt;=15,"Active",
J218&lt;=30,"Warm",
J218&gt;30,"Inactive"
)</f>
        <v>Active</v>
      </c>
      <c r="M218" t="str">
        <f t="shared" si="3"/>
        <v>Medium Value</v>
      </c>
      <c r="N218" t="str" cm="1">
        <f t="array" ref="N218">_xlfn.IFS(
C218&lt;=28,"25-28",
C218&lt;=32,"29-32",
C218&lt;=36,"33-36",
C218&lt;=40,"37-40",
C218&lt;=45,"41-45"
)</f>
        <v>33-36</v>
      </c>
    </row>
    <row r="219" spans="1:14" x14ac:dyDescent="0.3">
      <c r="A219">
        <v>318</v>
      </c>
      <c r="B219" t="s">
        <v>11</v>
      </c>
      <c r="C219">
        <v>41</v>
      </c>
      <c r="D219" t="s">
        <v>19</v>
      </c>
      <c r="E219" t="s">
        <v>20</v>
      </c>
      <c r="F219">
        <v>480.25</v>
      </c>
      <c r="G219">
        <v>9</v>
      </c>
      <c r="H219">
        <v>3.6</v>
      </c>
      <c r="I219" t="b">
        <v>1</v>
      </c>
      <c r="J219">
        <v>39</v>
      </c>
      <c r="K219" t="s">
        <v>21</v>
      </c>
      <c r="L219" t="str" cm="1">
        <f t="array" ref="L219">_xlfn.IFS(
J219&lt;=15,"Active",
J219&lt;=30,"Warm",
J219&gt;30,"Inactive"
)</f>
        <v>Inactive</v>
      </c>
      <c r="M219" t="str">
        <f t="shared" si="3"/>
        <v>Low Value</v>
      </c>
      <c r="N219" t="str" cm="1">
        <f t="array" ref="N219">_xlfn.IFS(
C219&lt;=28,"25-28",
C219&lt;=32,"29-32",
C219&lt;=36,"33-36",
C219&lt;=40,"37-40",
C219&lt;=45,"41-45"
)</f>
        <v>41-45</v>
      </c>
    </row>
    <row r="220" spans="1:14" x14ac:dyDescent="0.3">
      <c r="A220">
        <v>319</v>
      </c>
      <c r="B220" t="s">
        <v>15</v>
      </c>
      <c r="C220">
        <v>28</v>
      </c>
      <c r="D220" t="s">
        <v>22</v>
      </c>
      <c r="E220" t="s">
        <v>13</v>
      </c>
      <c r="F220">
        <v>1490.1</v>
      </c>
      <c r="G220">
        <v>21</v>
      </c>
      <c r="H220">
        <v>4.9000000000000004</v>
      </c>
      <c r="I220" t="b">
        <v>0</v>
      </c>
      <c r="J220">
        <v>9</v>
      </c>
      <c r="K220" t="s">
        <v>14</v>
      </c>
      <c r="L220" t="str" cm="1">
        <f t="array" ref="L220">_xlfn.IFS(
J220&lt;=15,"Active",
J220&lt;=30,"Warm",
J220&gt;30,"Inactive"
)</f>
        <v>Active</v>
      </c>
      <c r="M220" t="str">
        <f t="shared" si="3"/>
        <v>High Value</v>
      </c>
      <c r="N220" t="str" cm="1">
        <f t="array" ref="N220">_xlfn.IFS(
C220&lt;=28,"25-28",
C220&lt;=32,"29-32",
C220&lt;=36,"33-36",
C220&lt;=40,"37-40",
C220&lt;=45,"41-45"
)</f>
        <v>25-28</v>
      </c>
    </row>
    <row r="221" spans="1:14" x14ac:dyDescent="0.3">
      <c r="A221">
        <v>320</v>
      </c>
      <c r="B221" t="s">
        <v>15</v>
      </c>
      <c r="C221">
        <v>32</v>
      </c>
      <c r="D221" t="s">
        <v>23</v>
      </c>
      <c r="E221" t="s">
        <v>17</v>
      </c>
      <c r="F221">
        <v>680.3</v>
      </c>
      <c r="G221">
        <v>10</v>
      </c>
      <c r="H221">
        <v>3.8</v>
      </c>
      <c r="I221" t="b">
        <v>1</v>
      </c>
      <c r="J221">
        <v>32</v>
      </c>
      <c r="K221" t="s">
        <v>21</v>
      </c>
      <c r="L221" t="str" cm="1">
        <f t="array" ref="L221">_xlfn.IFS(
J221&lt;=15,"Active",
J221&lt;=30,"Warm",
J221&gt;30,"Inactive"
)</f>
        <v>Inactive</v>
      </c>
      <c r="M221" t="str">
        <f t="shared" si="3"/>
        <v>Medium Value</v>
      </c>
      <c r="N221" t="str" cm="1">
        <f t="array" ref="N221">_xlfn.IFS(
C221&lt;=28,"25-28",
C221&lt;=32,"29-32",
C221&lt;=36,"33-36",
C221&lt;=40,"37-40",
C221&lt;=45,"41-45"
)</f>
        <v>29-32</v>
      </c>
    </row>
    <row r="222" spans="1:14" x14ac:dyDescent="0.3">
      <c r="A222">
        <v>321</v>
      </c>
      <c r="B222" t="s">
        <v>11</v>
      </c>
      <c r="C222">
        <v>36</v>
      </c>
      <c r="D222" t="s">
        <v>24</v>
      </c>
      <c r="E222" t="s">
        <v>20</v>
      </c>
      <c r="F222">
        <v>470.5</v>
      </c>
      <c r="G222">
        <v>8</v>
      </c>
      <c r="H222">
        <v>3</v>
      </c>
      <c r="I222" t="b">
        <v>0</v>
      </c>
      <c r="J222">
        <v>18</v>
      </c>
      <c r="K222" t="s">
        <v>18</v>
      </c>
      <c r="L222" t="str" cm="1">
        <f t="array" ref="L222">_xlfn.IFS(
J222&lt;=15,"Active",
J222&lt;=30,"Warm",
J222&gt;30,"Inactive"
)</f>
        <v>Warm</v>
      </c>
      <c r="M222" t="str">
        <f t="shared" si="3"/>
        <v>Low Value</v>
      </c>
      <c r="N222" t="str" cm="1">
        <f t="array" ref="N222">_xlfn.IFS(
C222&lt;=28,"25-28",
C222&lt;=32,"29-32",
C222&lt;=36,"33-36",
C222&lt;=40,"37-40",
C222&lt;=45,"41-45"
)</f>
        <v>33-36</v>
      </c>
    </row>
    <row r="223" spans="1:14" x14ac:dyDescent="0.3">
      <c r="A223">
        <v>322</v>
      </c>
      <c r="B223" t="s">
        <v>11</v>
      </c>
      <c r="C223">
        <v>30</v>
      </c>
      <c r="D223" t="s">
        <v>12</v>
      </c>
      <c r="E223" t="s">
        <v>13</v>
      </c>
      <c r="F223">
        <v>1180.8</v>
      </c>
      <c r="G223">
        <v>16</v>
      </c>
      <c r="H223">
        <v>4.7</v>
      </c>
      <c r="I223" t="b">
        <v>1</v>
      </c>
      <c r="J223">
        <v>19</v>
      </c>
      <c r="K223" t="s">
        <v>14</v>
      </c>
      <c r="L223" t="str" cm="1">
        <f t="array" ref="L223">_xlfn.IFS(
J223&lt;=15,"Active",
J223&lt;=30,"Warm",
J223&gt;30,"Inactive"
)</f>
        <v>Warm</v>
      </c>
      <c r="M223" t="str">
        <f t="shared" si="3"/>
        <v>High Value</v>
      </c>
      <c r="N223" t="str" cm="1">
        <f t="array" ref="N223">_xlfn.IFS(
C223&lt;=28,"25-28",
C223&lt;=32,"29-32",
C223&lt;=36,"33-36",
C223&lt;=40,"37-40",
C223&lt;=45,"41-45"
)</f>
        <v>29-32</v>
      </c>
    </row>
    <row r="224" spans="1:14" x14ac:dyDescent="0.3">
      <c r="A224">
        <v>323</v>
      </c>
      <c r="B224" t="s">
        <v>15</v>
      </c>
      <c r="C224">
        <v>34</v>
      </c>
      <c r="D224" t="s">
        <v>16</v>
      </c>
      <c r="E224" t="s">
        <v>17</v>
      </c>
      <c r="F224">
        <v>790.2</v>
      </c>
      <c r="G224">
        <v>11</v>
      </c>
      <c r="H224">
        <v>4</v>
      </c>
      <c r="I224" t="b">
        <v>0</v>
      </c>
      <c r="J224">
        <v>15</v>
      </c>
      <c r="K224" t="s">
        <v>18</v>
      </c>
      <c r="L224" t="str" cm="1">
        <f t="array" ref="L224">_xlfn.IFS(
J224&lt;=15,"Active",
J224&lt;=30,"Warm",
J224&gt;30,"Inactive"
)</f>
        <v>Active</v>
      </c>
      <c r="M224" t="str">
        <f t="shared" si="3"/>
        <v>Medium Value</v>
      </c>
      <c r="N224" t="str" cm="1">
        <f t="array" ref="N224">_xlfn.IFS(
C224&lt;=28,"25-28",
C224&lt;=32,"29-32",
C224&lt;=36,"33-36",
C224&lt;=40,"37-40",
C224&lt;=45,"41-45"
)</f>
        <v>33-36</v>
      </c>
    </row>
    <row r="225" spans="1:14" x14ac:dyDescent="0.3">
      <c r="A225">
        <v>324</v>
      </c>
      <c r="B225" t="s">
        <v>11</v>
      </c>
      <c r="C225">
        <v>43</v>
      </c>
      <c r="D225" t="s">
        <v>19</v>
      </c>
      <c r="E225" t="s">
        <v>20</v>
      </c>
      <c r="F225">
        <v>505.75</v>
      </c>
      <c r="G225">
        <v>10</v>
      </c>
      <c r="H225">
        <v>3.3</v>
      </c>
      <c r="I225" t="b">
        <v>1</v>
      </c>
      <c r="J225">
        <v>39</v>
      </c>
      <c r="K225" t="s">
        <v>21</v>
      </c>
      <c r="L225" t="str" cm="1">
        <f t="array" ref="L225">_xlfn.IFS(
J225&lt;=15,"Active",
J225&lt;=30,"Warm",
J225&gt;30,"Inactive"
)</f>
        <v>Inactive</v>
      </c>
      <c r="M225" t="str">
        <f t="shared" si="3"/>
        <v>Medium Value</v>
      </c>
      <c r="N225" t="str" cm="1">
        <f t="array" ref="N225">_xlfn.IFS(
C225&lt;=28,"25-28",
C225&lt;=32,"29-32",
C225&lt;=36,"33-36",
C225&lt;=40,"37-40",
C225&lt;=45,"41-45"
)</f>
        <v>41-45</v>
      </c>
    </row>
    <row r="226" spans="1:14" x14ac:dyDescent="0.3">
      <c r="A226">
        <v>325</v>
      </c>
      <c r="B226" t="s">
        <v>15</v>
      </c>
      <c r="C226">
        <v>30</v>
      </c>
      <c r="D226" t="s">
        <v>22</v>
      </c>
      <c r="E226" t="s">
        <v>13</v>
      </c>
      <c r="F226">
        <v>1470.5</v>
      </c>
      <c r="G226">
        <v>20</v>
      </c>
      <c r="H226">
        <v>4.8</v>
      </c>
      <c r="I226" t="b">
        <v>0</v>
      </c>
      <c r="J226">
        <v>13</v>
      </c>
      <c r="K226" t="s">
        <v>14</v>
      </c>
      <c r="L226" t="str" cm="1">
        <f t="array" ref="L226">_xlfn.IFS(
J226&lt;=15,"Active",
J226&lt;=30,"Warm",
J226&gt;30,"Inactive"
)</f>
        <v>Active</v>
      </c>
      <c r="M226" t="str">
        <f t="shared" si="3"/>
        <v>High Value</v>
      </c>
      <c r="N226" t="str" cm="1">
        <f t="array" ref="N226">_xlfn.IFS(
C226&lt;=28,"25-28",
C226&lt;=32,"29-32",
C226&lt;=36,"33-36",
C226&lt;=40,"37-40",
C226&lt;=45,"41-45"
)</f>
        <v>29-32</v>
      </c>
    </row>
    <row r="227" spans="1:14" x14ac:dyDescent="0.3">
      <c r="A227">
        <v>326</v>
      </c>
      <c r="B227" t="s">
        <v>15</v>
      </c>
      <c r="C227">
        <v>27</v>
      </c>
      <c r="D227" t="s">
        <v>23</v>
      </c>
      <c r="E227" t="s">
        <v>17</v>
      </c>
      <c r="F227">
        <v>710.4</v>
      </c>
      <c r="G227">
        <v>13</v>
      </c>
      <c r="H227">
        <v>4.0999999999999996</v>
      </c>
      <c r="I227" t="b">
        <v>1</v>
      </c>
      <c r="J227">
        <v>54</v>
      </c>
      <c r="K227" t="s">
        <v>21</v>
      </c>
      <c r="L227" t="str" cm="1">
        <f t="array" ref="L227">_xlfn.IFS(
J227&lt;=15,"Active",
J227&lt;=30,"Warm",
J227&gt;30,"Inactive"
)</f>
        <v>Inactive</v>
      </c>
      <c r="M227" t="str">
        <f t="shared" si="3"/>
        <v>Medium Value</v>
      </c>
      <c r="N227" t="str" cm="1">
        <f t="array" ref="N227">_xlfn.IFS(
C227&lt;=28,"25-28",
C227&lt;=32,"29-32",
C227&lt;=36,"33-36",
C227&lt;=40,"37-40",
C227&lt;=45,"41-45"
)</f>
        <v>25-28</v>
      </c>
    </row>
    <row r="228" spans="1:14" x14ac:dyDescent="0.3">
      <c r="A228">
        <v>327</v>
      </c>
      <c r="B228" t="s">
        <v>11</v>
      </c>
      <c r="C228">
        <v>37</v>
      </c>
      <c r="D228" t="s">
        <v>24</v>
      </c>
      <c r="E228" t="s">
        <v>20</v>
      </c>
      <c r="F228">
        <v>430.8</v>
      </c>
      <c r="G228">
        <v>7</v>
      </c>
      <c r="H228">
        <v>3.4</v>
      </c>
      <c r="I228" t="b">
        <v>0</v>
      </c>
      <c r="J228">
        <v>23</v>
      </c>
      <c r="K228" t="s">
        <v>18</v>
      </c>
      <c r="L228" t="str" cm="1">
        <f t="array" ref="L228">_xlfn.IFS(
J228&lt;=15,"Active",
J228&lt;=30,"Warm",
J228&gt;30,"Inactive"
)</f>
        <v>Warm</v>
      </c>
      <c r="M228" t="str">
        <f t="shared" si="3"/>
        <v>Low Value</v>
      </c>
      <c r="N228" t="str" cm="1">
        <f t="array" ref="N228">_xlfn.IFS(
C228&lt;=28,"25-28",
C228&lt;=32,"29-32",
C228&lt;=36,"33-36",
C228&lt;=40,"37-40",
C228&lt;=45,"41-45"
)</f>
        <v>37-40</v>
      </c>
    </row>
    <row r="229" spans="1:14" x14ac:dyDescent="0.3">
      <c r="A229">
        <v>328</v>
      </c>
      <c r="B229" t="s">
        <v>11</v>
      </c>
      <c r="C229">
        <v>31</v>
      </c>
      <c r="D229" t="s">
        <v>12</v>
      </c>
      <c r="E229" t="s">
        <v>13</v>
      </c>
      <c r="F229">
        <v>1140.5999999999999</v>
      </c>
      <c r="G229">
        <v>15</v>
      </c>
      <c r="H229">
        <v>4.5</v>
      </c>
      <c r="I229" t="b">
        <v>1</v>
      </c>
      <c r="J229">
        <v>27</v>
      </c>
      <c r="K229" t="s">
        <v>14</v>
      </c>
      <c r="L229" t="str" cm="1">
        <f t="array" ref="L229">_xlfn.IFS(
J229&lt;=15,"Active",
J229&lt;=30,"Warm",
J229&gt;30,"Inactive"
)</f>
        <v>Warm</v>
      </c>
      <c r="M229" t="str">
        <f t="shared" si="3"/>
        <v>High Value</v>
      </c>
      <c r="N229" t="str" cm="1">
        <f t="array" ref="N229">_xlfn.IFS(
C229&lt;=28,"25-28",
C229&lt;=32,"29-32",
C229&lt;=36,"33-36",
C229&lt;=40,"37-40",
C229&lt;=45,"41-45"
)</f>
        <v>29-32</v>
      </c>
    </row>
    <row r="230" spans="1:14" x14ac:dyDescent="0.3">
      <c r="A230">
        <v>329</v>
      </c>
      <c r="B230" t="s">
        <v>15</v>
      </c>
      <c r="C230">
        <v>35</v>
      </c>
      <c r="D230" t="s">
        <v>16</v>
      </c>
      <c r="E230" t="s">
        <v>17</v>
      </c>
      <c r="F230">
        <v>820.9</v>
      </c>
      <c r="G230">
        <v>12</v>
      </c>
      <c r="H230">
        <v>4.3</v>
      </c>
      <c r="I230" t="b">
        <v>0</v>
      </c>
      <c r="J230">
        <v>13</v>
      </c>
      <c r="K230" t="s">
        <v>18</v>
      </c>
      <c r="L230" t="str" cm="1">
        <f t="array" ref="L230">_xlfn.IFS(
J230&lt;=15,"Active",
J230&lt;=30,"Warm",
J230&gt;30,"Inactive"
)</f>
        <v>Active</v>
      </c>
      <c r="M230" t="str">
        <f t="shared" si="3"/>
        <v>Medium Value</v>
      </c>
      <c r="N230" t="str" cm="1">
        <f t="array" ref="N230">_xlfn.IFS(
C230&lt;=28,"25-28",
C230&lt;=32,"29-32",
C230&lt;=36,"33-36",
C230&lt;=40,"37-40",
C230&lt;=45,"41-45"
)</f>
        <v>33-36</v>
      </c>
    </row>
    <row r="231" spans="1:14" x14ac:dyDescent="0.3">
      <c r="A231">
        <v>330</v>
      </c>
      <c r="B231" t="s">
        <v>11</v>
      </c>
      <c r="C231">
        <v>41</v>
      </c>
      <c r="D231" t="s">
        <v>19</v>
      </c>
      <c r="E231" t="s">
        <v>20</v>
      </c>
      <c r="F231">
        <v>485.25</v>
      </c>
      <c r="G231">
        <v>9</v>
      </c>
      <c r="H231">
        <v>3.6</v>
      </c>
      <c r="I231" t="b">
        <v>1</v>
      </c>
      <c r="J231">
        <v>39</v>
      </c>
      <c r="K231" t="s">
        <v>21</v>
      </c>
      <c r="L231" t="str" cm="1">
        <f t="array" ref="L231">_xlfn.IFS(
J231&lt;=15,"Active",
J231&lt;=30,"Warm",
J231&gt;30,"Inactive"
)</f>
        <v>Inactive</v>
      </c>
      <c r="M231" t="str">
        <f t="shared" si="3"/>
        <v>Low Value</v>
      </c>
      <c r="N231" t="str" cm="1">
        <f t="array" ref="N231">_xlfn.IFS(
C231&lt;=28,"25-28",
C231&lt;=32,"29-32",
C231&lt;=36,"33-36",
C231&lt;=40,"37-40",
C231&lt;=45,"41-45"
)</f>
        <v>41-45</v>
      </c>
    </row>
    <row r="232" spans="1:14" x14ac:dyDescent="0.3">
      <c r="A232">
        <v>331</v>
      </c>
      <c r="B232" t="s">
        <v>15</v>
      </c>
      <c r="C232">
        <v>28</v>
      </c>
      <c r="D232" t="s">
        <v>22</v>
      </c>
      <c r="E232" t="s">
        <v>13</v>
      </c>
      <c r="F232">
        <v>1500.1</v>
      </c>
      <c r="G232">
        <v>21</v>
      </c>
      <c r="H232">
        <v>4.9000000000000004</v>
      </c>
      <c r="I232" t="b">
        <v>0</v>
      </c>
      <c r="J232">
        <v>10</v>
      </c>
      <c r="K232" t="s">
        <v>14</v>
      </c>
      <c r="L232" t="str" cm="1">
        <f t="array" ref="L232">_xlfn.IFS(
J232&lt;=15,"Active",
J232&lt;=30,"Warm",
J232&gt;30,"Inactive"
)</f>
        <v>Active</v>
      </c>
      <c r="M232" t="str">
        <f t="shared" si="3"/>
        <v>High Value</v>
      </c>
      <c r="N232" t="str" cm="1">
        <f t="array" ref="N232">_xlfn.IFS(
C232&lt;=28,"25-28",
C232&lt;=32,"29-32",
C232&lt;=36,"33-36",
C232&lt;=40,"37-40",
C232&lt;=45,"41-45"
)</f>
        <v>25-28</v>
      </c>
    </row>
    <row r="233" spans="1:14" x14ac:dyDescent="0.3">
      <c r="A233">
        <v>332</v>
      </c>
      <c r="B233" t="s">
        <v>15</v>
      </c>
      <c r="C233">
        <v>32</v>
      </c>
      <c r="D233" t="s">
        <v>23</v>
      </c>
      <c r="E233" t="s">
        <v>17</v>
      </c>
      <c r="F233">
        <v>670.3</v>
      </c>
      <c r="G233">
        <v>10</v>
      </c>
      <c r="H233">
        <v>3.8</v>
      </c>
      <c r="I233" t="b">
        <v>1</v>
      </c>
      <c r="J233">
        <v>33</v>
      </c>
      <c r="K233" t="s">
        <v>21</v>
      </c>
      <c r="L233" t="str" cm="1">
        <f t="array" ref="L233">_xlfn.IFS(
J233&lt;=15,"Active",
J233&lt;=30,"Warm",
J233&gt;30,"Inactive"
)</f>
        <v>Inactive</v>
      </c>
      <c r="M233" t="str">
        <f t="shared" si="3"/>
        <v>Medium Value</v>
      </c>
      <c r="N233" t="str" cm="1">
        <f t="array" ref="N233">_xlfn.IFS(
C233&lt;=28,"25-28",
C233&lt;=32,"29-32",
C233&lt;=36,"33-36",
C233&lt;=40,"37-40",
C233&lt;=45,"41-45"
)</f>
        <v>29-32</v>
      </c>
    </row>
    <row r="234" spans="1:14" x14ac:dyDescent="0.3">
      <c r="A234">
        <v>333</v>
      </c>
      <c r="B234" t="s">
        <v>11</v>
      </c>
      <c r="C234">
        <v>36</v>
      </c>
      <c r="D234" t="s">
        <v>24</v>
      </c>
      <c r="E234" t="s">
        <v>20</v>
      </c>
      <c r="F234">
        <v>460.5</v>
      </c>
      <c r="G234">
        <v>8</v>
      </c>
      <c r="H234">
        <v>3.1</v>
      </c>
      <c r="I234" t="b">
        <v>0</v>
      </c>
      <c r="J234">
        <v>19</v>
      </c>
      <c r="K234" t="s">
        <v>18</v>
      </c>
      <c r="L234" t="str" cm="1">
        <f t="array" ref="L234">_xlfn.IFS(
J234&lt;=15,"Active",
J234&lt;=30,"Warm",
J234&gt;30,"Inactive"
)</f>
        <v>Warm</v>
      </c>
      <c r="M234" t="str">
        <f t="shared" si="3"/>
        <v>Low Value</v>
      </c>
      <c r="N234" t="str" cm="1">
        <f t="array" ref="N234">_xlfn.IFS(
C234&lt;=28,"25-28",
C234&lt;=32,"29-32",
C234&lt;=36,"33-36",
C234&lt;=40,"37-40",
C234&lt;=45,"41-45"
)</f>
        <v>33-36</v>
      </c>
    </row>
    <row r="235" spans="1:14" x14ac:dyDescent="0.3">
      <c r="A235">
        <v>334</v>
      </c>
      <c r="B235" t="s">
        <v>11</v>
      </c>
      <c r="C235">
        <v>30</v>
      </c>
      <c r="D235" t="s">
        <v>12</v>
      </c>
      <c r="E235" t="s">
        <v>13</v>
      </c>
      <c r="F235">
        <v>1190.8</v>
      </c>
      <c r="G235">
        <v>16</v>
      </c>
      <c r="H235">
        <v>4.5</v>
      </c>
      <c r="I235" t="b">
        <v>1</v>
      </c>
      <c r="J235">
        <v>20</v>
      </c>
      <c r="K235" t="s">
        <v>14</v>
      </c>
      <c r="L235" t="str" cm="1">
        <f t="array" ref="L235">_xlfn.IFS(
J235&lt;=15,"Active",
J235&lt;=30,"Warm",
J235&gt;30,"Inactive"
)</f>
        <v>Warm</v>
      </c>
      <c r="M235" t="str">
        <f t="shared" si="3"/>
        <v>High Value</v>
      </c>
      <c r="N235" t="str" cm="1">
        <f t="array" ref="N235">_xlfn.IFS(
C235&lt;=28,"25-28",
C235&lt;=32,"29-32",
C235&lt;=36,"33-36",
C235&lt;=40,"37-40",
C235&lt;=45,"41-45"
)</f>
        <v>29-32</v>
      </c>
    </row>
    <row r="236" spans="1:14" x14ac:dyDescent="0.3">
      <c r="A236">
        <v>335</v>
      </c>
      <c r="B236" t="s">
        <v>15</v>
      </c>
      <c r="C236">
        <v>33</v>
      </c>
      <c r="D236" t="s">
        <v>16</v>
      </c>
      <c r="E236" t="s">
        <v>17</v>
      </c>
      <c r="F236">
        <v>830.75</v>
      </c>
      <c r="G236">
        <v>13</v>
      </c>
      <c r="H236">
        <v>4.2</v>
      </c>
      <c r="I236" t="b">
        <v>0</v>
      </c>
      <c r="J236">
        <v>14</v>
      </c>
      <c r="K236" t="s">
        <v>14</v>
      </c>
      <c r="L236" t="str" cm="1">
        <f t="array" ref="L236">_xlfn.IFS(
J236&lt;=15,"Active",
J236&lt;=30,"Warm",
J236&gt;30,"Inactive"
)</f>
        <v>Active</v>
      </c>
      <c r="M236" t="str">
        <f t="shared" si="3"/>
        <v>Medium Value</v>
      </c>
      <c r="N236" t="str" cm="1">
        <f t="array" ref="N236">_xlfn.IFS(
C236&lt;=28,"25-28",
C236&lt;=32,"29-32",
C236&lt;=36,"33-36",
C236&lt;=40,"37-40",
C236&lt;=45,"41-45"
)</f>
        <v>33-36</v>
      </c>
    </row>
    <row r="237" spans="1:14" x14ac:dyDescent="0.3">
      <c r="A237">
        <v>336</v>
      </c>
      <c r="B237" t="s">
        <v>11</v>
      </c>
      <c r="C237">
        <v>42</v>
      </c>
      <c r="D237" t="s">
        <v>19</v>
      </c>
      <c r="E237" t="s">
        <v>20</v>
      </c>
      <c r="F237">
        <v>520.4</v>
      </c>
      <c r="G237">
        <v>9</v>
      </c>
      <c r="H237">
        <v>3.5</v>
      </c>
      <c r="I237" t="b">
        <v>1</v>
      </c>
      <c r="J237">
        <v>37</v>
      </c>
      <c r="K237" t="s">
        <v>21</v>
      </c>
      <c r="L237" t="str" cm="1">
        <f t="array" ref="L237">_xlfn.IFS(
J237&lt;=15,"Active",
J237&lt;=30,"Warm",
J237&gt;30,"Inactive"
)</f>
        <v>Inactive</v>
      </c>
      <c r="M237" t="str">
        <f t="shared" si="3"/>
        <v>Medium Value</v>
      </c>
      <c r="N237" t="str" cm="1">
        <f t="array" ref="N237">_xlfn.IFS(
C237&lt;=28,"25-28",
C237&lt;=32,"29-32",
C237&lt;=36,"33-36",
C237&lt;=40,"37-40",
C237&lt;=45,"41-45"
)</f>
        <v>41-45</v>
      </c>
    </row>
    <row r="238" spans="1:14" x14ac:dyDescent="0.3">
      <c r="A238">
        <v>337</v>
      </c>
      <c r="B238" t="s">
        <v>15</v>
      </c>
      <c r="C238">
        <v>29</v>
      </c>
      <c r="D238" t="s">
        <v>22</v>
      </c>
      <c r="E238" t="s">
        <v>13</v>
      </c>
      <c r="F238">
        <v>1370.2</v>
      </c>
      <c r="G238">
        <v>18</v>
      </c>
      <c r="H238">
        <v>4.7</v>
      </c>
      <c r="I238" t="b">
        <v>0</v>
      </c>
      <c r="J238">
        <v>10</v>
      </c>
      <c r="K238" t="s">
        <v>14</v>
      </c>
      <c r="L238" t="str" cm="1">
        <f t="array" ref="L238">_xlfn.IFS(
J238&lt;=15,"Active",
J238&lt;=30,"Warm",
J238&gt;30,"Inactive"
)</f>
        <v>Active</v>
      </c>
      <c r="M238" t="str">
        <f t="shared" si="3"/>
        <v>High Value</v>
      </c>
      <c r="N238" t="str" cm="1">
        <f t="array" ref="N238">_xlfn.IFS(
C238&lt;=28,"25-28",
C238&lt;=32,"29-32",
C238&lt;=36,"33-36",
C238&lt;=40,"37-40",
C238&lt;=45,"41-45"
)</f>
        <v>29-32</v>
      </c>
    </row>
    <row r="239" spans="1:14" x14ac:dyDescent="0.3">
      <c r="A239">
        <v>338</v>
      </c>
      <c r="B239" t="s">
        <v>15</v>
      </c>
      <c r="C239">
        <v>26</v>
      </c>
      <c r="D239" t="s">
        <v>23</v>
      </c>
      <c r="E239" t="s">
        <v>17</v>
      </c>
      <c r="F239">
        <v>690.6</v>
      </c>
      <c r="G239">
        <v>12</v>
      </c>
      <c r="H239">
        <v>3.9</v>
      </c>
      <c r="I239" t="b">
        <v>1</v>
      </c>
      <c r="J239">
        <v>47</v>
      </c>
      <c r="K239" t="s">
        <v>21</v>
      </c>
      <c r="L239" t="str" cm="1">
        <f t="array" ref="L239">_xlfn.IFS(
J239&lt;=15,"Active",
J239&lt;=30,"Warm",
J239&gt;30,"Inactive"
)</f>
        <v>Inactive</v>
      </c>
      <c r="M239" t="str">
        <f t="shared" si="3"/>
        <v>Medium Value</v>
      </c>
      <c r="N239" t="str" cm="1">
        <f t="array" ref="N239">_xlfn.IFS(
C239&lt;=28,"25-28",
C239&lt;=32,"29-32",
C239&lt;=36,"33-36",
C239&lt;=40,"37-40",
C239&lt;=45,"41-45"
)</f>
        <v>25-28</v>
      </c>
    </row>
    <row r="240" spans="1:14" x14ac:dyDescent="0.3">
      <c r="A240">
        <v>339</v>
      </c>
      <c r="B240" t="s">
        <v>11</v>
      </c>
      <c r="C240">
        <v>38</v>
      </c>
      <c r="D240" t="s">
        <v>24</v>
      </c>
      <c r="E240" t="s">
        <v>20</v>
      </c>
      <c r="F240">
        <v>440.9</v>
      </c>
      <c r="G240">
        <v>8</v>
      </c>
      <c r="H240">
        <v>3.2</v>
      </c>
      <c r="I240" t="b">
        <v>0</v>
      </c>
      <c r="J240">
        <v>24</v>
      </c>
      <c r="K240" t="s">
        <v>18</v>
      </c>
      <c r="L240" t="str" cm="1">
        <f t="array" ref="L240">_xlfn.IFS(
J240&lt;=15,"Active",
J240&lt;=30,"Warm",
J240&gt;30,"Inactive"
)</f>
        <v>Warm</v>
      </c>
      <c r="M240" t="str">
        <f t="shared" si="3"/>
        <v>Low Value</v>
      </c>
      <c r="N240" t="str" cm="1">
        <f t="array" ref="N240">_xlfn.IFS(
C240&lt;=28,"25-28",
C240&lt;=32,"29-32",
C240&lt;=36,"33-36",
C240&lt;=40,"37-40",
C240&lt;=45,"41-45"
)</f>
        <v>37-40</v>
      </c>
    </row>
    <row r="241" spans="1:14" x14ac:dyDescent="0.3">
      <c r="A241">
        <v>340</v>
      </c>
      <c r="B241" t="s">
        <v>11</v>
      </c>
      <c r="C241">
        <v>32</v>
      </c>
      <c r="D241" t="s">
        <v>12</v>
      </c>
      <c r="E241" t="s">
        <v>13</v>
      </c>
      <c r="F241">
        <v>1160.3</v>
      </c>
      <c r="G241">
        <v>14</v>
      </c>
      <c r="H241">
        <v>4.4000000000000004</v>
      </c>
      <c r="I241" t="b">
        <v>1</v>
      </c>
      <c r="J241">
        <v>22</v>
      </c>
      <c r="K241" t="s">
        <v>14</v>
      </c>
      <c r="L241" t="str" cm="1">
        <f t="array" ref="L241">_xlfn.IFS(
J241&lt;=15,"Active",
J241&lt;=30,"Warm",
J241&gt;30,"Inactive"
)</f>
        <v>Warm</v>
      </c>
      <c r="M241" t="str">
        <f t="shared" si="3"/>
        <v>High Value</v>
      </c>
      <c r="N241" t="str" cm="1">
        <f t="array" ref="N241">_xlfn.IFS(
C241&lt;=28,"25-28",
C241&lt;=32,"29-32",
C241&lt;=36,"33-36",
C241&lt;=40,"37-40",
C241&lt;=45,"41-45"
)</f>
        <v>29-32</v>
      </c>
    </row>
    <row r="242" spans="1:14" x14ac:dyDescent="0.3">
      <c r="A242">
        <v>341</v>
      </c>
      <c r="B242" t="s">
        <v>15</v>
      </c>
      <c r="C242">
        <v>34</v>
      </c>
      <c r="D242" t="s">
        <v>16</v>
      </c>
      <c r="E242" t="s">
        <v>17</v>
      </c>
      <c r="F242">
        <v>800.2</v>
      </c>
      <c r="G242">
        <v>11</v>
      </c>
      <c r="H242">
        <v>4.0999999999999996</v>
      </c>
      <c r="I242" t="b">
        <v>0</v>
      </c>
      <c r="J242">
        <v>17</v>
      </c>
      <c r="K242" t="s">
        <v>18</v>
      </c>
      <c r="L242" t="str" cm="1">
        <f t="array" ref="L242">_xlfn.IFS(
J242&lt;=15,"Active",
J242&lt;=30,"Warm",
J242&gt;30,"Inactive"
)</f>
        <v>Warm</v>
      </c>
      <c r="M242" t="str">
        <f t="shared" si="3"/>
        <v>Medium Value</v>
      </c>
      <c r="N242" t="str" cm="1">
        <f t="array" ref="N242">_xlfn.IFS(
C242&lt;=28,"25-28",
C242&lt;=32,"29-32",
C242&lt;=36,"33-36",
C242&lt;=40,"37-40",
C242&lt;=45,"41-45"
)</f>
        <v>33-36</v>
      </c>
    </row>
    <row r="243" spans="1:14" x14ac:dyDescent="0.3">
      <c r="A243">
        <v>342</v>
      </c>
      <c r="B243" t="s">
        <v>11</v>
      </c>
      <c r="C243">
        <v>43</v>
      </c>
      <c r="D243" t="s">
        <v>19</v>
      </c>
      <c r="E243" t="s">
        <v>20</v>
      </c>
      <c r="F243">
        <v>525.75</v>
      </c>
      <c r="G243">
        <v>9</v>
      </c>
      <c r="H243">
        <v>3.3</v>
      </c>
      <c r="I243" t="b">
        <v>1</v>
      </c>
      <c r="J243">
        <v>40</v>
      </c>
      <c r="K243" t="s">
        <v>21</v>
      </c>
      <c r="L243" t="str" cm="1">
        <f t="array" ref="L243">_xlfn.IFS(
J243&lt;=15,"Active",
J243&lt;=30,"Warm",
J243&gt;30,"Inactive"
)</f>
        <v>Inactive</v>
      </c>
      <c r="M243" t="str">
        <f t="shared" si="3"/>
        <v>Medium Value</v>
      </c>
      <c r="N243" t="str" cm="1">
        <f t="array" ref="N243">_xlfn.IFS(
C243&lt;=28,"25-28",
C243&lt;=32,"29-32",
C243&lt;=36,"33-36",
C243&lt;=40,"37-40",
C243&lt;=45,"41-45"
)</f>
        <v>41-45</v>
      </c>
    </row>
    <row r="244" spans="1:14" x14ac:dyDescent="0.3">
      <c r="A244">
        <v>343</v>
      </c>
      <c r="B244" t="s">
        <v>15</v>
      </c>
      <c r="C244">
        <v>30</v>
      </c>
      <c r="D244" t="s">
        <v>22</v>
      </c>
      <c r="E244" t="s">
        <v>13</v>
      </c>
      <c r="F244">
        <v>1460.5</v>
      </c>
      <c r="G244">
        <v>20</v>
      </c>
      <c r="H244">
        <v>4.8</v>
      </c>
      <c r="I244" t="b">
        <v>0</v>
      </c>
      <c r="J244">
        <v>11</v>
      </c>
      <c r="K244" t="s">
        <v>14</v>
      </c>
      <c r="L244" t="str" cm="1">
        <f t="array" ref="L244">_xlfn.IFS(
J244&lt;=15,"Active",
J244&lt;=30,"Warm",
J244&gt;30,"Inactive"
)</f>
        <v>Active</v>
      </c>
      <c r="M244" t="str">
        <f t="shared" si="3"/>
        <v>High Value</v>
      </c>
      <c r="N244" t="str" cm="1">
        <f t="array" ref="N244">_xlfn.IFS(
C244&lt;=28,"25-28",
C244&lt;=32,"29-32",
C244&lt;=36,"33-36",
C244&lt;=40,"37-40",
C244&lt;=45,"41-45"
)</f>
        <v>29-32</v>
      </c>
    </row>
    <row r="245" spans="1:14" x14ac:dyDescent="0.3">
      <c r="A245">
        <v>344</v>
      </c>
      <c r="B245" t="s">
        <v>15</v>
      </c>
      <c r="C245">
        <v>27</v>
      </c>
      <c r="D245" t="s">
        <v>23</v>
      </c>
      <c r="E245" t="s">
        <v>17</v>
      </c>
      <c r="F245">
        <v>720.4</v>
      </c>
      <c r="G245">
        <v>13</v>
      </c>
      <c r="H245">
        <v>4</v>
      </c>
      <c r="I245" t="b">
        <v>1</v>
      </c>
      <c r="J245">
        <v>55</v>
      </c>
      <c r="K245" t="s">
        <v>21</v>
      </c>
      <c r="L245" t="str" cm="1">
        <f t="array" ref="L245">_xlfn.IFS(
J245&lt;=15,"Active",
J245&lt;=30,"Warm",
J245&gt;30,"Inactive"
)</f>
        <v>Inactive</v>
      </c>
      <c r="M245" t="str">
        <f t="shared" si="3"/>
        <v>Medium Value</v>
      </c>
      <c r="N245" t="str" cm="1">
        <f t="array" ref="N245">_xlfn.IFS(
C245&lt;=28,"25-28",
C245&lt;=32,"29-32",
C245&lt;=36,"33-36",
C245&lt;=40,"37-40",
C245&lt;=45,"41-45"
)</f>
        <v>25-28</v>
      </c>
    </row>
    <row r="246" spans="1:14" x14ac:dyDescent="0.3">
      <c r="A246">
        <v>345</v>
      </c>
      <c r="B246" t="s">
        <v>11</v>
      </c>
      <c r="C246">
        <v>37</v>
      </c>
      <c r="D246" t="s">
        <v>24</v>
      </c>
      <c r="E246" t="s">
        <v>20</v>
      </c>
      <c r="F246">
        <v>440.8</v>
      </c>
      <c r="G246">
        <v>7</v>
      </c>
      <c r="H246">
        <v>3.2</v>
      </c>
      <c r="I246" t="b">
        <v>0</v>
      </c>
      <c r="J246">
        <v>25</v>
      </c>
      <c r="K246" t="s">
        <v>18</v>
      </c>
      <c r="L246" t="str" cm="1">
        <f t="array" ref="L246">_xlfn.IFS(
J246&lt;=15,"Active",
J246&lt;=30,"Warm",
J246&gt;30,"Inactive"
)</f>
        <v>Warm</v>
      </c>
      <c r="M246" t="str">
        <f t="shared" si="3"/>
        <v>Low Value</v>
      </c>
      <c r="N246" t="str" cm="1">
        <f t="array" ref="N246">_xlfn.IFS(
C246&lt;=28,"25-28",
C246&lt;=32,"29-32",
C246&lt;=36,"33-36",
C246&lt;=40,"37-40",
C246&lt;=45,"41-45"
)</f>
        <v>37-40</v>
      </c>
    </row>
    <row r="247" spans="1:14" x14ac:dyDescent="0.3">
      <c r="A247">
        <v>346</v>
      </c>
      <c r="B247" t="s">
        <v>11</v>
      </c>
      <c r="C247">
        <v>31</v>
      </c>
      <c r="D247" t="s">
        <v>12</v>
      </c>
      <c r="E247" t="s">
        <v>13</v>
      </c>
      <c r="F247">
        <v>1150.5999999999999</v>
      </c>
      <c r="G247">
        <v>15</v>
      </c>
      <c r="H247">
        <v>4.5</v>
      </c>
      <c r="I247" t="b">
        <v>1</v>
      </c>
      <c r="J247">
        <v>28</v>
      </c>
      <c r="K247" t="s">
        <v>14</v>
      </c>
      <c r="L247" t="str" cm="1">
        <f t="array" ref="L247">_xlfn.IFS(
J247&lt;=15,"Active",
J247&lt;=30,"Warm",
J247&gt;30,"Inactive"
)</f>
        <v>Warm</v>
      </c>
      <c r="M247" t="str">
        <f t="shared" si="3"/>
        <v>High Value</v>
      </c>
      <c r="N247" t="str" cm="1">
        <f t="array" ref="N247">_xlfn.IFS(
C247&lt;=28,"25-28",
C247&lt;=32,"29-32",
C247&lt;=36,"33-36",
C247&lt;=40,"37-40",
C247&lt;=45,"41-45"
)</f>
        <v>29-32</v>
      </c>
    </row>
    <row r="248" spans="1:14" x14ac:dyDescent="0.3">
      <c r="A248">
        <v>347</v>
      </c>
      <c r="B248" t="s">
        <v>15</v>
      </c>
      <c r="C248">
        <v>35</v>
      </c>
      <c r="D248" t="s">
        <v>16</v>
      </c>
      <c r="E248" t="s">
        <v>17</v>
      </c>
      <c r="F248">
        <v>830.9</v>
      </c>
      <c r="G248">
        <v>12</v>
      </c>
      <c r="H248">
        <v>4.3</v>
      </c>
      <c r="I248" t="b">
        <v>0</v>
      </c>
      <c r="J248">
        <v>14</v>
      </c>
      <c r="K248" t="s">
        <v>18</v>
      </c>
      <c r="L248" t="str" cm="1">
        <f t="array" ref="L248">_xlfn.IFS(
J248&lt;=15,"Active",
J248&lt;=30,"Warm",
J248&gt;30,"Inactive"
)</f>
        <v>Active</v>
      </c>
      <c r="M248" t="str">
        <f t="shared" si="3"/>
        <v>Medium Value</v>
      </c>
      <c r="N248" t="str" cm="1">
        <f t="array" ref="N248">_xlfn.IFS(
C248&lt;=28,"25-28",
C248&lt;=32,"29-32",
C248&lt;=36,"33-36",
C248&lt;=40,"37-40",
C248&lt;=45,"41-45"
)</f>
        <v>33-36</v>
      </c>
    </row>
    <row r="249" spans="1:14" x14ac:dyDescent="0.3">
      <c r="A249">
        <v>348</v>
      </c>
      <c r="B249" t="s">
        <v>11</v>
      </c>
      <c r="C249">
        <v>41</v>
      </c>
      <c r="D249" t="s">
        <v>19</v>
      </c>
      <c r="E249" t="s">
        <v>20</v>
      </c>
      <c r="F249">
        <v>490.25</v>
      </c>
      <c r="G249">
        <v>9</v>
      </c>
      <c r="H249">
        <v>3.6</v>
      </c>
      <c r="I249" t="b">
        <v>1</v>
      </c>
      <c r="J249">
        <v>40</v>
      </c>
      <c r="K249" t="s">
        <v>21</v>
      </c>
      <c r="L249" t="str" cm="1">
        <f t="array" ref="L249">_xlfn.IFS(
J249&lt;=15,"Active",
J249&lt;=30,"Warm",
J249&gt;30,"Inactive"
)</f>
        <v>Inactive</v>
      </c>
      <c r="M249" t="str">
        <f t="shared" si="3"/>
        <v>Low Value</v>
      </c>
      <c r="N249" t="str" cm="1">
        <f t="array" ref="N249">_xlfn.IFS(
C249&lt;=28,"25-28",
C249&lt;=32,"29-32",
C249&lt;=36,"33-36",
C249&lt;=40,"37-40",
C249&lt;=45,"41-45"
)</f>
        <v>41-45</v>
      </c>
    </row>
    <row r="250" spans="1:14" x14ac:dyDescent="0.3">
      <c r="A250">
        <v>349</v>
      </c>
      <c r="B250" t="s">
        <v>15</v>
      </c>
      <c r="C250">
        <v>28</v>
      </c>
      <c r="D250" t="s">
        <v>22</v>
      </c>
      <c r="E250" t="s">
        <v>13</v>
      </c>
      <c r="F250">
        <v>1480.1</v>
      </c>
      <c r="G250">
        <v>21</v>
      </c>
      <c r="H250">
        <v>4.9000000000000004</v>
      </c>
      <c r="I250" t="b">
        <v>0</v>
      </c>
      <c r="J250">
        <v>10</v>
      </c>
      <c r="K250" t="s">
        <v>14</v>
      </c>
      <c r="L250" t="str" cm="1">
        <f t="array" ref="L250">_xlfn.IFS(
J250&lt;=15,"Active",
J250&lt;=30,"Warm",
J250&gt;30,"Inactive"
)</f>
        <v>Active</v>
      </c>
      <c r="M250" t="str">
        <f t="shared" si="3"/>
        <v>High Value</v>
      </c>
      <c r="N250" t="str" cm="1">
        <f t="array" ref="N250">_xlfn.IFS(
C250&lt;=28,"25-28",
C250&lt;=32,"29-32",
C250&lt;=36,"33-36",
C250&lt;=40,"37-40",
C250&lt;=45,"41-45"
)</f>
        <v>25-28</v>
      </c>
    </row>
    <row r="251" spans="1:14" x14ac:dyDescent="0.3">
      <c r="A251">
        <v>350</v>
      </c>
      <c r="B251" t="s">
        <v>15</v>
      </c>
      <c r="C251">
        <v>32</v>
      </c>
      <c r="D251" t="s">
        <v>23</v>
      </c>
      <c r="E251" t="s">
        <v>17</v>
      </c>
      <c r="F251">
        <v>690.3</v>
      </c>
      <c r="G251">
        <v>10</v>
      </c>
      <c r="H251">
        <v>3.8</v>
      </c>
      <c r="I251" t="b">
        <v>1</v>
      </c>
      <c r="J251">
        <v>34</v>
      </c>
      <c r="K251" t="s">
        <v>21</v>
      </c>
      <c r="L251" t="str" cm="1">
        <f t="array" ref="L251">_xlfn.IFS(
J251&lt;=15,"Active",
J251&lt;=30,"Warm",
J251&gt;30,"Inactive"
)</f>
        <v>Inactive</v>
      </c>
      <c r="M251" t="str">
        <f t="shared" si="3"/>
        <v>Medium Value</v>
      </c>
      <c r="N251" t="str" cm="1">
        <f t="array" ref="N251">_xlfn.IFS(
C251&lt;=28,"25-28",
C251&lt;=32,"29-32",
C251&lt;=36,"33-36",
C251&lt;=40,"37-40",
C251&lt;=45,"41-45"
)</f>
        <v>29-32</v>
      </c>
    </row>
    <row r="252" spans="1:14" x14ac:dyDescent="0.3">
      <c r="A252">
        <v>351</v>
      </c>
      <c r="B252" t="s">
        <v>11</v>
      </c>
      <c r="C252">
        <v>36</v>
      </c>
      <c r="D252" t="s">
        <v>24</v>
      </c>
      <c r="E252" t="s">
        <v>20</v>
      </c>
      <c r="F252">
        <v>480.5</v>
      </c>
      <c r="G252">
        <v>8</v>
      </c>
      <c r="H252">
        <v>3.1</v>
      </c>
      <c r="I252" t="b">
        <v>0</v>
      </c>
      <c r="J252">
        <v>20</v>
      </c>
      <c r="K252" t="s">
        <v>18</v>
      </c>
      <c r="L252" t="str" cm="1">
        <f t="array" ref="L252">_xlfn.IFS(
J252&lt;=15,"Active",
J252&lt;=30,"Warm",
J252&gt;30,"Inactive"
)</f>
        <v>Warm</v>
      </c>
      <c r="M252" t="str">
        <f t="shared" si="3"/>
        <v>Low Value</v>
      </c>
      <c r="N252" t="str" cm="1">
        <f t="array" ref="N252">_xlfn.IFS(
C252&lt;=28,"25-28",
C252&lt;=32,"29-32",
C252&lt;=36,"33-36",
C252&lt;=40,"37-40",
C252&lt;=45,"41-45"
)</f>
        <v>33-36</v>
      </c>
    </row>
    <row r="253" spans="1:14" x14ac:dyDescent="0.3">
      <c r="A253">
        <v>352</v>
      </c>
      <c r="B253" t="s">
        <v>11</v>
      </c>
      <c r="C253">
        <v>30</v>
      </c>
      <c r="D253" t="s">
        <v>12</v>
      </c>
      <c r="E253" t="s">
        <v>13</v>
      </c>
      <c r="F253">
        <v>1170.8</v>
      </c>
      <c r="G253">
        <v>16</v>
      </c>
      <c r="H253">
        <v>4.7</v>
      </c>
      <c r="I253" t="b">
        <v>1</v>
      </c>
      <c r="J253">
        <v>21</v>
      </c>
      <c r="K253" t="s">
        <v>14</v>
      </c>
      <c r="L253" t="str" cm="1">
        <f t="array" ref="L253">_xlfn.IFS(
J253&lt;=15,"Active",
J253&lt;=30,"Warm",
J253&gt;30,"Inactive"
)</f>
        <v>Warm</v>
      </c>
      <c r="M253" t="str">
        <f t="shared" si="3"/>
        <v>High Value</v>
      </c>
      <c r="N253" t="str" cm="1">
        <f t="array" ref="N253">_xlfn.IFS(
C253&lt;=28,"25-28",
C253&lt;=32,"29-32",
C253&lt;=36,"33-36",
C253&lt;=40,"37-40",
C253&lt;=45,"41-45"
)</f>
        <v>29-32</v>
      </c>
    </row>
    <row r="254" spans="1:14" x14ac:dyDescent="0.3">
      <c r="A254">
        <v>353</v>
      </c>
      <c r="B254" t="s">
        <v>15</v>
      </c>
      <c r="C254">
        <v>34</v>
      </c>
      <c r="D254" t="s">
        <v>16</v>
      </c>
      <c r="E254" t="s">
        <v>17</v>
      </c>
      <c r="F254">
        <v>790.2</v>
      </c>
      <c r="G254">
        <v>11</v>
      </c>
      <c r="H254">
        <v>4</v>
      </c>
      <c r="I254" t="b">
        <v>0</v>
      </c>
      <c r="J254">
        <v>15</v>
      </c>
      <c r="K254" t="s">
        <v>18</v>
      </c>
      <c r="L254" t="str" cm="1">
        <f t="array" ref="L254">_xlfn.IFS(
J254&lt;=15,"Active",
J254&lt;=30,"Warm",
J254&gt;30,"Inactive"
)</f>
        <v>Active</v>
      </c>
      <c r="M254" t="str">
        <f t="shared" si="3"/>
        <v>Medium Value</v>
      </c>
      <c r="N254" t="str" cm="1">
        <f t="array" ref="N254">_xlfn.IFS(
C254&lt;=28,"25-28",
C254&lt;=32,"29-32",
C254&lt;=36,"33-36",
C254&lt;=40,"37-40",
C254&lt;=45,"41-45"
)</f>
        <v>33-36</v>
      </c>
    </row>
    <row r="255" spans="1:14" x14ac:dyDescent="0.3">
      <c r="A255">
        <v>354</v>
      </c>
      <c r="B255" t="s">
        <v>11</v>
      </c>
      <c r="C255">
        <v>43</v>
      </c>
      <c r="D255" t="s">
        <v>19</v>
      </c>
      <c r="E255" t="s">
        <v>20</v>
      </c>
      <c r="F255">
        <v>510.75</v>
      </c>
      <c r="G255">
        <v>10</v>
      </c>
      <c r="H255">
        <v>3.3</v>
      </c>
      <c r="I255" t="b">
        <v>1</v>
      </c>
      <c r="J255">
        <v>41</v>
      </c>
      <c r="K255" t="s">
        <v>21</v>
      </c>
      <c r="L255" t="str" cm="1">
        <f t="array" ref="L255">_xlfn.IFS(
J255&lt;=15,"Active",
J255&lt;=30,"Warm",
J255&gt;30,"Inactive"
)</f>
        <v>Inactive</v>
      </c>
      <c r="M255" t="str">
        <f t="shared" si="3"/>
        <v>Medium Value</v>
      </c>
      <c r="N255" t="str" cm="1">
        <f t="array" ref="N255">_xlfn.IFS(
C255&lt;=28,"25-28",
C255&lt;=32,"29-32",
C255&lt;=36,"33-36",
C255&lt;=40,"37-40",
C255&lt;=45,"41-45"
)</f>
        <v>41-45</v>
      </c>
    </row>
    <row r="256" spans="1:14" x14ac:dyDescent="0.3">
      <c r="A256">
        <v>355</v>
      </c>
      <c r="B256" t="s">
        <v>15</v>
      </c>
      <c r="C256">
        <v>30</v>
      </c>
      <c r="D256" t="s">
        <v>22</v>
      </c>
      <c r="E256" t="s">
        <v>13</v>
      </c>
      <c r="F256">
        <v>1440.5</v>
      </c>
      <c r="G256">
        <v>19</v>
      </c>
      <c r="H256">
        <v>4.5999999999999996</v>
      </c>
      <c r="I256" t="b">
        <v>0</v>
      </c>
      <c r="J256">
        <v>12</v>
      </c>
      <c r="K256" t="s">
        <v>14</v>
      </c>
      <c r="L256" t="str" cm="1">
        <f t="array" ref="L256">_xlfn.IFS(
J256&lt;=15,"Active",
J256&lt;=30,"Warm",
J256&gt;30,"Inactive"
)</f>
        <v>Active</v>
      </c>
      <c r="M256" t="str">
        <f t="shared" si="3"/>
        <v>High Value</v>
      </c>
      <c r="N256" t="str" cm="1">
        <f t="array" ref="N256">_xlfn.IFS(
C256&lt;=28,"25-28",
C256&lt;=32,"29-32",
C256&lt;=36,"33-36",
C256&lt;=40,"37-40",
C256&lt;=45,"41-45"
)</f>
        <v>29-32</v>
      </c>
    </row>
    <row r="257" spans="1:14" x14ac:dyDescent="0.3">
      <c r="A257">
        <v>356</v>
      </c>
      <c r="B257" t="s">
        <v>15</v>
      </c>
      <c r="C257">
        <v>27</v>
      </c>
      <c r="D257" t="s">
        <v>23</v>
      </c>
      <c r="E257" t="s">
        <v>17</v>
      </c>
      <c r="F257">
        <v>700.4</v>
      </c>
      <c r="G257">
        <v>13</v>
      </c>
      <c r="H257">
        <v>4.0999999999999996</v>
      </c>
      <c r="I257" t="b">
        <v>1</v>
      </c>
      <c r="J257">
        <v>56</v>
      </c>
      <c r="K257" t="s">
        <v>21</v>
      </c>
      <c r="L257" t="str" cm="1">
        <f t="array" ref="L257">_xlfn.IFS(
J257&lt;=15,"Active",
J257&lt;=30,"Warm",
J257&gt;30,"Inactive"
)</f>
        <v>Inactive</v>
      </c>
      <c r="M257" t="str">
        <f t="shared" si="3"/>
        <v>Medium Value</v>
      </c>
      <c r="N257" t="str" cm="1">
        <f t="array" ref="N257">_xlfn.IFS(
C257&lt;=28,"25-28",
C257&lt;=32,"29-32",
C257&lt;=36,"33-36",
C257&lt;=40,"37-40",
C257&lt;=45,"41-45"
)</f>
        <v>25-28</v>
      </c>
    </row>
    <row r="258" spans="1:14" x14ac:dyDescent="0.3">
      <c r="A258">
        <v>357</v>
      </c>
      <c r="B258" t="s">
        <v>11</v>
      </c>
      <c r="C258">
        <v>37</v>
      </c>
      <c r="D258" t="s">
        <v>24</v>
      </c>
      <c r="E258" t="s">
        <v>20</v>
      </c>
      <c r="F258">
        <v>410.8</v>
      </c>
      <c r="G258">
        <v>7</v>
      </c>
      <c r="H258">
        <v>3.4</v>
      </c>
      <c r="I258" t="b">
        <v>0</v>
      </c>
      <c r="J258">
        <v>26</v>
      </c>
      <c r="K258" t="s">
        <v>18</v>
      </c>
      <c r="L258" t="str" cm="1">
        <f t="array" ref="L258">_xlfn.IFS(
J258&lt;=15,"Active",
J258&lt;=30,"Warm",
J258&gt;30,"Inactive"
)</f>
        <v>Warm</v>
      </c>
      <c r="M258" t="str">
        <f t="shared" ref="M258:M321" si="4">IF(F258&gt;1000,"High Value",
IF(F258&gt;500,"Medium Value","Low Value"))</f>
        <v>Low Value</v>
      </c>
      <c r="N258" t="str" cm="1">
        <f t="array" ref="N258">_xlfn.IFS(
C258&lt;=28,"25-28",
C258&lt;=32,"29-32",
C258&lt;=36,"33-36",
C258&lt;=40,"37-40",
C258&lt;=45,"41-45"
)</f>
        <v>37-40</v>
      </c>
    </row>
    <row r="259" spans="1:14" x14ac:dyDescent="0.3">
      <c r="A259">
        <v>358</v>
      </c>
      <c r="B259" t="s">
        <v>11</v>
      </c>
      <c r="C259">
        <v>31</v>
      </c>
      <c r="D259" t="s">
        <v>12</v>
      </c>
      <c r="E259" t="s">
        <v>13</v>
      </c>
      <c r="F259">
        <v>1160.5999999999999</v>
      </c>
      <c r="G259">
        <v>15</v>
      </c>
      <c r="H259">
        <v>4.5</v>
      </c>
      <c r="I259" t="b">
        <v>1</v>
      </c>
      <c r="J259">
        <v>29</v>
      </c>
      <c r="K259" t="s">
        <v>14</v>
      </c>
      <c r="L259" t="str" cm="1">
        <f t="array" ref="L259">_xlfn.IFS(
J259&lt;=15,"Active",
J259&lt;=30,"Warm",
J259&gt;30,"Inactive"
)</f>
        <v>Warm</v>
      </c>
      <c r="M259" t="str">
        <f t="shared" si="4"/>
        <v>High Value</v>
      </c>
      <c r="N259" t="str" cm="1">
        <f t="array" ref="N259">_xlfn.IFS(
C259&lt;=28,"25-28",
C259&lt;=32,"29-32",
C259&lt;=36,"33-36",
C259&lt;=40,"37-40",
C259&lt;=45,"41-45"
)</f>
        <v>29-32</v>
      </c>
    </row>
    <row r="260" spans="1:14" x14ac:dyDescent="0.3">
      <c r="A260">
        <v>359</v>
      </c>
      <c r="B260" t="s">
        <v>15</v>
      </c>
      <c r="C260">
        <v>35</v>
      </c>
      <c r="D260" t="s">
        <v>16</v>
      </c>
      <c r="E260" t="s">
        <v>17</v>
      </c>
      <c r="F260">
        <v>810.9</v>
      </c>
      <c r="G260">
        <v>12</v>
      </c>
      <c r="H260">
        <v>4.3</v>
      </c>
      <c r="I260" t="b">
        <v>0</v>
      </c>
      <c r="J260">
        <v>14</v>
      </c>
      <c r="K260" t="s">
        <v>18</v>
      </c>
      <c r="L260" t="str" cm="1">
        <f t="array" ref="L260">_xlfn.IFS(
J260&lt;=15,"Active",
J260&lt;=30,"Warm",
J260&gt;30,"Inactive"
)</f>
        <v>Active</v>
      </c>
      <c r="M260" t="str">
        <f t="shared" si="4"/>
        <v>Medium Value</v>
      </c>
      <c r="N260" t="str" cm="1">
        <f t="array" ref="N260">_xlfn.IFS(
C260&lt;=28,"25-28",
C260&lt;=32,"29-32",
C260&lt;=36,"33-36",
C260&lt;=40,"37-40",
C260&lt;=45,"41-45"
)</f>
        <v>33-36</v>
      </c>
    </row>
    <row r="261" spans="1:14" x14ac:dyDescent="0.3">
      <c r="A261">
        <v>360</v>
      </c>
      <c r="B261" t="s">
        <v>11</v>
      </c>
      <c r="C261">
        <v>41</v>
      </c>
      <c r="D261" t="s">
        <v>19</v>
      </c>
      <c r="E261" t="s">
        <v>20</v>
      </c>
      <c r="F261">
        <v>495.25</v>
      </c>
      <c r="G261">
        <v>9</v>
      </c>
      <c r="H261">
        <v>3.6</v>
      </c>
      <c r="I261" t="b">
        <v>1</v>
      </c>
      <c r="J261">
        <v>41</v>
      </c>
      <c r="K261" t="s">
        <v>21</v>
      </c>
      <c r="L261" t="str" cm="1">
        <f t="array" ref="L261">_xlfn.IFS(
J261&lt;=15,"Active",
J261&lt;=30,"Warm",
J261&gt;30,"Inactive"
)</f>
        <v>Inactive</v>
      </c>
      <c r="M261" t="str">
        <f t="shared" si="4"/>
        <v>Low Value</v>
      </c>
      <c r="N261" t="str" cm="1">
        <f t="array" ref="N261">_xlfn.IFS(
C261&lt;=28,"25-28",
C261&lt;=32,"29-32",
C261&lt;=36,"33-36",
C261&lt;=40,"37-40",
C261&lt;=45,"41-45"
)</f>
        <v>41-45</v>
      </c>
    </row>
    <row r="262" spans="1:14" x14ac:dyDescent="0.3">
      <c r="A262">
        <v>361</v>
      </c>
      <c r="B262" t="s">
        <v>15</v>
      </c>
      <c r="C262">
        <v>28</v>
      </c>
      <c r="D262" t="s">
        <v>22</v>
      </c>
      <c r="E262" t="s">
        <v>13</v>
      </c>
      <c r="F262">
        <v>1490.1</v>
      </c>
      <c r="G262">
        <v>21</v>
      </c>
      <c r="H262">
        <v>4.9000000000000004</v>
      </c>
      <c r="I262" t="b">
        <v>0</v>
      </c>
      <c r="J262">
        <v>10</v>
      </c>
      <c r="K262" t="s">
        <v>14</v>
      </c>
      <c r="L262" t="str" cm="1">
        <f t="array" ref="L262">_xlfn.IFS(
J262&lt;=15,"Active",
J262&lt;=30,"Warm",
J262&gt;30,"Inactive"
)</f>
        <v>Active</v>
      </c>
      <c r="M262" t="str">
        <f t="shared" si="4"/>
        <v>High Value</v>
      </c>
      <c r="N262" t="str" cm="1">
        <f t="array" ref="N262">_xlfn.IFS(
C262&lt;=28,"25-28",
C262&lt;=32,"29-32",
C262&lt;=36,"33-36",
C262&lt;=40,"37-40",
C262&lt;=45,"41-45"
)</f>
        <v>25-28</v>
      </c>
    </row>
    <row r="263" spans="1:14" x14ac:dyDescent="0.3">
      <c r="A263">
        <v>362</v>
      </c>
      <c r="B263" t="s">
        <v>15</v>
      </c>
      <c r="C263">
        <v>32</v>
      </c>
      <c r="D263" t="s">
        <v>23</v>
      </c>
      <c r="E263" t="s">
        <v>17</v>
      </c>
      <c r="F263">
        <v>660.3</v>
      </c>
      <c r="G263">
        <v>10</v>
      </c>
      <c r="H263">
        <v>3.8</v>
      </c>
      <c r="I263" t="b">
        <v>1</v>
      </c>
      <c r="J263">
        <v>35</v>
      </c>
      <c r="K263" t="s">
        <v>21</v>
      </c>
      <c r="L263" t="str" cm="1">
        <f t="array" ref="L263">_xlfn.IFS(
J263&lt;=15,"Active",
J263&lt;=30,"Warm",
J263&gt;30,"Inactive"
)</f>
        <v>Inactive</v>
      </c>
      <c r="M263" t="str">
        <f t="shared" si="4"/>
        <v>Medium Value</v>
      </c>
      <c r="N263" t="str" cm="1">
        <f t="array" ref="N263">_xlfn.IFS(
C263&lt;=28,"25-28",
C263&lt;=32,"29-32",
C263&lt;=36,"33-36",
C263&lt;=40,"37-40",
C263&lt;=45,"41-45"
)</f>
        <v>29-32</v>
      </c>
    </row>
    <row r="264" spans="1:14" x14ac:dyDescent="0.3">
      <c r="A264">
        <v>363</v>
      </c>
      <c r="B264" t="s">
        <v>11</v>
      </c>
      <c r="C264">
        <v>36</v>
      </c>
      <c r="D264" t="s">
        <v>24</v>
      </c>
      <c r="E264" t="s">
        <v>20</v>
      </c>
      <c r="F264">
        <v>430.5</v>
      </c>
      <c r="G264">
        <v>8</v>
      </c>
      <c r="H264">
        <v>3.1</v>
      </c>
      <c r="I264" t="b">
        <v>0</v>
      </c>
      <c r="J264">
        <v>21</v>
      </c>
      <c r="K264" t="s">
        <v>18</v>
      </c>
      <c r="L264" t="str" cm="1">
        <f t="array" ref="L264">_xlfn.IFS(
J264&lt;=15,"Active",
J264&lt;=30,"Warm",
J264&gt;30,"Inactive"
)</f>
        <v>Warm</v>
      </c>
      <c r="M264" t="str">
        <f t="shared" si="4"/>
        <v>Low Value</v>
      </c>
      <c r="N264" t="str" cm="1">
        <f t="array" ref="N264">_xlfn.IFS(
C264&lt;=28,"25-28",
C264&lt;=32,"29-32",
C264&lt;=36,"33-36",
C264&lt;=40,"37-40",
C264&lt;=45,"41-45"
)</f>
        <v>33-36</v>
      </c>
    </row>
    <row r="265" spans="1:14" x14ac:dyDescent="0.3">
      <c r="A265">
        <v>364</v>
      </c>
      <c r="B265" t="s">
        <v>11</v>
      </c>
      <c r="C265">
        <v>30</v>
      </c>
      <c r="D265" t="s">
        <v>12</v>
      </c>
      <c r="E265" t="s">
        <v>13</v>
      </c>
      <c r="F265">
        <v>1200.8</v>
      </c>
      <c r="G265">
        <v>16</v>
      </c>
      <c r="H265">
        <v>4.7</v>
      </c>
      <c r="I265" t="b">
        <v>1</v>
      </c>
      <c r="J265">
        <v>22</v>
      </c>
      <c r="K265" t="s">
        <v>14</v>
      </c>
      <c r="L265" t="str" cm="1">
        <f t="array" ref="L265">_xlfn.IFS(
J265&lt;=15,"Active",
J265&lt;=30,"Warm",
J265&gt;30,"Inactive"
)</f>
        <v>Warm</v>
      </c>
      <c r="M265" t="str">
        <f t="shared" si="4"/>
        <v>High Value</v>
      </c>
      <c r="N265" t="str" cm="1">
        <f t="array" ref="N265">_xlfn.IFS(
C265&lt;=28,"25-28",
C265&lt;=32,"29-32",
C265&lt;=36,"33-36",
C265&lt;=40,"37-40",
C265&lt;=45,"41-45"
)</f>
        <v>29-32</v>
      </c>
    </row>
    <row r="266" spans="1:14" x14ac:dyDescent="0.3">
      <c r="A266">
        <v>365</v>
      </c>
      <c r="B266" t="s">
        <v>15</v>
      </c>
      <c r="C266">
        <v>34</v>
      </c>
      <c r="D266" t="s">
        <v>16</v>
      </c>
      <c r="E266" t="s">
        <v>17</v>
      </c>
      <c r="F266">
        <v>780.2</v>
      </c>
      <c r="G266">
        <v>11</v>
      </c>
      <c r="H266">
        <v>4.0999999999999996</v>
      </c>
      <c r="I266" t="b">
        <v>0</v>
      </c>
      <c r="J266">
        <v>16</v>
      </c>
      <c r="K266" t="s">
        <v>18</v>
      </c>
      <c r="L266" t="str" cm="1">
        <f t="array" ref="L266">_xlfn.IFS(
J266&lt;=15,"Active",
J266&lt;=30,"Warm",
J266&gt;30,"Inactive"
)</f>
        <v>Warm</v>
      </c>
      <c r="M266" t="str">
        <f t="shared" si="4"/>
        <v>Medium Value</v>
      </c>
      <c r="N266" t="str" cm="1">
        <f t="array" ref="N266">_xlfn.IFS(
C266&lt;=28,"25-28",
C266&lt;=32,"29-32",
C266&lt;=36,"33-36",
C266&lt;=40,"37-40",
C266&lt;=45,"41-45"
)</f>
        <v>33-36</v>
      </c>
    </row>
    <row r="267" spans="1:14" x14ac:dyDescent="0.3">
      <c r="A267">
        <v>366</v>
      </c>
      <c r="B267" t="s">
        <v>11</v>
      </c>
      <c r="C267">
        <v>43</v>
      </c>
      <c r="D267" t="s">
        <v>19</v>
      </c>
      <c r="E267" t="s">
        <v>20</v>
      </c>
      <c r="F267">
        <v>505.75</v>
      </c>
      <c r="G267">
        <v>10</v>
      </c>
      <c r="H267">
        <v>3.3</v>
      </c>
      <c r="I267" t="b">
        <v>1</v>
      </c>
      <c r="J267">
        <v>42</v>
      </c>
      <c r="K267" t="s">
        <v>21</v>
      </c>
      <c r="L267" t="str" cm="1">
        <f t="array" ref="L267">_xlfn.IFS(
J267&lt;=15,"Active",
J267&lt;=30,"Warm",
J267&gt;30,"Inactive"
)</f>
        <v>Inactive</v>
      </c>
      <c r="M267" t="str">
        <f t="shared" si="4"/>
        <v>Medium Value</v>
      </c>
      <c r="N267" t="str" cm="1">
        <f t="array" ref="N267">_xlfn.IFS(
C267&lt;=28,"25-28",
C267&lt;=32,"29-32",
C267&lt;=36,"33-36",
C267&lt;=40,"37-40",
C267&lt;=45,"41-45"
)</f>
        <v>41-45</v>
      </c>
    </row>
    <row r="268" spans="1:14" x14ac:dyDescent="0.3">
      <c r="A268">
        <v>367</v>
      </c>
      <c r="B268" t="s">
        <v>15</v>
      </c>
      <c r="C268">
        <v>30</v>
      </c>
      <c r="D268" t="s">
        <v>22</v>
      </c>
      <c r="E268" t="s">
        <v>13</v>
      </c>
      <c r="F268">
        <v>1460.5</v>
      </c>
      <c r="G268">
        <v>20</v>
      </c>
      <c r="H268">
        <v>4.8</v>
      </c>
      <c r="I268" t="b">
        <v>0</v>
      </c>
      <c r="J268">
        <v>13</v>
      </c>
      <c r="K268" t="s">
        <v>14</v>
      </c>
      <c r="L268" t="str" cm="1">
        <f t="array" ref="L268">_xlfn.IFS(
J268&lt;=15,"Active",
J268&lt;=30,"Warm",
J268&gt;30,"Inactive"
)</f>
        <v>Active</v>
      </c>
      <c r="M268" t="str">
        <f t="shared" si="4"/>
        <v>High Value</v>
      </c>
      <c r="N268" t="str" cm="1">
        <f t="array" ref="N268">_xlfn.IFS(
C268&lt;=28,"25-28",
C268&lt;=32,"29-32",
C268&lt;=36,"33-36",
C268&lt;=40,"37-40",
C268&lt;=45,"41-45"
)</f>
        <v>29-32</v>
      </c>
    </row>
    <row r="269" spans="1:14" x14ac:dyDescent="0.3">
      <c r="A269">
        <v>368</v>
      </c>
      <c r="B269" t="s">
        <v>15</v>
      </c>
      <c r="C269">
        <v>27</v>
      </c>
      <c r="D269" t="s">
        <v>23</v>
      </c>
      <c r="E269" t="s">
        <v>17</v>
      </c>
      <c r="F269">
        <v>710.4</v>
      </c>
      <c r="G269">
        <v>13</v>
      </c>
      <c r="H269">
        <v>4.0999999999999996</v>
      </c>
      <c r="I269" t="b">
        <v>1</v>
      </c>
      <c r="J269">
        <v>57</v>
      </c>
      <c r="K269" t="s">
        <v>21</v>
      </c>
      <c r="L269" t="str" cm="1">
        <f t="array" ref="L269">_xlfn.IFS(
J269&lt;=15,"Active",
J269&lt;=30,"Warm",
J269&gt;30,"Inactive"
)</f>
        <v>Inactive</v>
      </c>
      <c r="M269" t="str">
        <f t="shared" si="4"/>
        <v>Medium Value</v>
      </c>
      <c r="N269" t="str" cm="1">
        <f t="array" ref="N269">_xlfn.IFS(
C269&lt;=28,"25-28",
C269&lt;=32,"29-32",
C269&lt;=36,"33-36",
C269&lt;=40,"37-40",
C269&lt;=45,"41-45"
)</f>
        <v>25-28</v>
      </c>
    </row>
    <row r="270" spans="1:14" x14ac:dyDescent="0.3">
      <c r="A270">
        <v>369</v>
      </c>
      <c r="B270" t="s">
        <v>11</v>
      </c>
      <c r="C270">
        <v>37</v>
      </c>
      <c r="D270" t="s">
        <v>24</v>
      </c>
      <c r="E270" t="s">
        <v>20</v>
      </c>
      <c r="F270">
        <v>450.8</v>
      </c>
      <c r="G270">
        <v>7</v>
      </c>
      <c r="H270">
        <v>3.4</v>
      </c>
      <c r="I270" t="b">
        <v>0</v>
      </c>
      <c r="J270">
        <v>24</v>
      </c>
      <c r="K270" t="s">
        <v>18</v>
      </c>
      <c r="L270" t="str" cm="1">
        <f t="array" ref="L270">_xlfn.IFS(
J270&lt;=15,"Active",
J270&lt;=30,"Warm",
J270&gt;30,"Inactive"
)</f>
        <v>Warm</v>
      </c>
      <c r="M270" t="str">
        <f t="shared" si="4"/>
        <v>Low Value</v>
      </c>
      <c r="N270" t="str" cm="1">
        <f t="array" ref="N270">_xlfn.IFS(
C270&lt;=28,"25-28",
C270&lt;=32,"29-32",
C270&lt;=36,"33-36",
C270&lt;=40,"37-40",
C270&lt;=45,"41-45"
)</f>
        <v>37-40</v>
      </c>
    </row>
    <row r="271" spans="1:14" x14ac:dyDescent="0.3">
      <c r="A271">
        <v>370</v>
      </c>
      <c r="B271" t="s">
        <v>11</v>
      </c>
      <c r="C271">
        <v>31</v>
      </c>
      <c r="D271" t="s">
        <v>12</v>
      </c>
      <c r="E271" t="s">
        <v>13</v>
      </c>
      <c r="F271">
        <v>1140.5999999999999</v>
      </c>
      <c r="G271">
        <v>15</v>
      </c>
      <c r="H271">
        <v>4.5</v>
      </c>
      <c r="I271" t="b">
        <v>1</v>
      </c>
      <c r="J271">
        <v>30</v>
      </c>
      <c r="K271" t="s">
        <v>14</v>
      </c>
      <c r="L271" t="str" cm="1">
        <f t="array" ref="L271">_xlfn.IFS(
J271&lt;=15,"Active",
J271&lt;=30,"Warm",
J271&gt;30,"Inactive"
)</f>
        <v>Warm</v>
      </c>
      <c r="M271" t="str">
        <f t="shared" si="4"/>
        <v>High Value</v>
      </c>
      <c r="N271" t="str" cm="1">
        <f t="array" ref="N271">_xlfn.IFS(
C271&lt;=28,"25-28",
C271&lt;=32,"29-32",
C271&lt;=36,"33-36",
C271&lt;=40,"37-40",
C271&lt;=45,"41-45"
)</f>
        <v>29-32</v>
      </c>
    </row>
    <row r="272" spans="1:14" x14ac:dyDescent="0.3">
      <c r="A272">
        <v>371</v>
      </c>
      <c r="B272" t="s">
        <v>15</v>
      </c>
      <c r="C272">
        <v>35</v>
      </c>
      <c r="D272" t="s">
        <v>16</v>
      </c>
      <c r="E272" t="s">
        <v>17</v>
      </c>
      <c r="F272">
        <v>800.9</v>
      </c>
      <c r="G272">
        <v>12</v>
      </c>
      <c r="H272">
        <v>4.0999999999999996</v>
      </c>
      <c r="I272" t="b">
        <v>0</v>
      </c>
      <c r="J272">
        <v>17</v>
      </c>
      <c r="K272" t="s">
        <v>18</v>
      </c>
      <c r="L272" t="str" cm="1">
        <f t="array" ref="L272">_xlfn.IFS(
J272&lt;=15,"Active",
J272&lt;=30,"Warm",
J272&gt;30,"Inactive"
)</f>
        <v>Warm</v>
      </c>
      <c r="M272" t="str">
        <f t="shared" si="4"/>
        <v>Medium Value</v>
      </c>
      <c r="N272" t="str" cm="1">
        <f t="array" ref="N272">_xlfn.IFS(
C272&lt;=28,"25-28",
C272&lt;=32,"29-32",
C272&lt;=36,"33-36",
C272&lt;=40,"37-40",
C272&lt;=45,"41-45"
)</f>
        <v>33-36</v>
      </c>
    </row>
    <row r="273" spans="1:14" x14ac:dyDescent="0.3">
      <c r="A273">
        <v>372</v>
      </c>
      <c r="B273" t="s">
        <v>11</v>
      </c>
      <c r="C273">
        <v>41</v>
      </c>
      <c r="D273" t="s">
        <v>19</v>
      </c>
      <c r="E273" t="s">
        <v>20</v>
      </c>
      <c r="F273">
        <v>475.25</v>
      </c>
      <c r="G273">
        <v>9</v>
      </c>
      <c r="H273">
        <v>3.6</v>
      </c>
      <c r="I273" t="b">
        <v>1</v>
      </c>
      <c r="J273">
        <v>42</v>
      </c>
      <c r="K273" t="s">
        <v>21</v>
      </c>
      <c r="L273" t="str" cm="1">
        <f t="array" ref="L273">_xlfn.IFS(
J273&lt;=15,"Active",
J273&lt;=30,"Warm",
J273&gt;30,"Inactive"
)</f>
        <v>Inactive</v>
      </c>
      <c r="M273" t="str">
        <f t="shared" si="4"/>
        <v>Low Value</v>
      </c>
      <c r="N273" t="str" cm="1">
        <f t="array" ref="N273">_xlfn.IFS(
C273&lt;=28,"25-28",
C273&lt;=32,"29-32",
C273&lt;=36,"33-36",
C273&lt;=40,"37-40",
C273&lt;=45,"41-45"
)</f>
        <v>41-45</v>
      </c>
    </row>
    <row r="274" spans="1:14" x14ac:dyDescent="0.3">
      <c r="A274">
        <v>373</v>
      </c>
      <c r="B274" t="s">
        <v>15</v>
      </c>
      <c r="C274">
        <v>28</v>
      </c>
      <c r="D274" t="s">
        <v>22</v>
      </c>
      <c r="E274" t="s">
        <v>13</v>
      </c>
      <c r="F274">
        <v>1480.1</v>
      </c>
      <c r="G274">
        <v>21</v>
      </c>
      <c r="H274">
        <v>4.9000000000000004</v>
      </c>
      <c r="I274" t="b">
        <v>0</v>
      </c>
      <c r="J274">
        <v>11</v>
      </c>
      <c r="K274" t="s">
        <v>14</v>
      </c>
      <c r="L274" t="str" cm="1">
        <f t="array" ref="L274">_xlfn.IFS(
J274&lt;=15,"Active",
J274&lt;=30,"Warm",
J274&gt;30,"Inactive"
)</f>
        <v>Active</v>
      </c>
      <c r="M274" t="str">
        <f t="shared" si="4"/>
        <v>High Value</v>
      </c>
      <c r="N274" t="str" cm="1">
        <f t="array" ref="N274">_xlfn.IFS(
C274&lt;=28,"25-28",
C274&lt;=32,"29-32",
C274&lt;=36,"33-36",
C274&lt;=40,"37-40",
C274&lt;=45,"41-45"
)</f>
        <v>25-28</v>
      </c>
    </row>
    <row r="275" spans="1:14" x14ac:dyDescent="0.3">
      <c r="A275">
        <v>374</v>
      </c>
      <c r="B275" t="s">
        <v>15</v>
      </c>
      <c r="C275">
        <v>32</v>
      </c>
      <c r="D275" t="s">
        <v>23</v>
      </c>
      <c r="E275" t="s">
        <v>17</v>
      </c>
      <c r="F275">
        <v>660.3</v>
      </c>
      <c r="G275">
        <v>10</v>
      </c>
      <c r="H275">
        <v>3.8</v>
      </c>
      <c r="I275" t="b">
        <v>1</v>
      </c>
      <c r="J275">
        <v>36</v>
      </c>
      <c r="K275" t="s">
        <v>21</v>
      </c>
      <c r="L275" t="str" cm="1">
        <f t="array" ref="L275">_xlfn.IFS(
J275&lt;=15,"Active",
J275&lt;=30,"Warm",
J275&gt;30,"Inactive"
)</f>
        <v>Inactive</v>
      </c>
      <c r="M275" t="str">
        <f t="shared" si="4"/>
        <v>Medium Value</v>
      </c>
      <c r="N275" t="str" cm="1">
        <f t="array" ref="N275">_xlfn.IFS(
C275&lt;=28,"25-28",
C275&lt;=32,"29-32",
C275&lt;=36,"33-36",
C275&lt;=40,"37-40",
C275&lt;=45,"41-45"
)</f>
        <v>29-32</v>
      </c>
    </row>
    <row r="276" spans="1:14" x14ac:dyDescent="0.3">
      <c r="A276">
        <v>375</v>
      </c>
      <c r="B276" t="s">
        <v>11</v>
      </c>
      <c r="C276">
        <v>36</v>
      </c>
      <c r="D276" t="s">
        <v>24</v>
      </c>
      <c r="E276" t="s">
        <v>20</v>
      </c>
      <c r="F276">
        <v>470.5</v>
      </c>
      <c r="G276">
        <v>8</v>
      </c>
      <c r="H276">
        <v>3</v>
      </c>
      <c r="I276" t="b">
        <v>0</v>
      </c>
      <c r="J276">
        <v>22</v>
      </c>
      <c r="K276" t="s">
        <v>18</v>
      </c>
      <c r="L276" t="str" cm="1">
        <f t="array" ref="L276">_xlfn.IFS(
J276&lt;=15,"Active",
J276&lt;=30,"Warm",
J276&gt;30,"Inactive"
)</f>
        <v>Warm</v>
      </c>
      <c r="M276" t="str">
        <f t="shared" si="4"/>
        <v>Low Value</v>
      </c>
      <c r="N276" t="str" cm="1">
        <f t="array" ref="N276">_xlfn.IFS(
C276&lt;=28,"25-28",
C276&lt;=32,"29-32",
C276&lt;=36,"33-36",
C276&lt;=40,"37-40",
C276&lt;=45,"41-45"
)</f>
        <v>33-36</v>
      </c>
    </row>
    <row r="277" spans="1:14" x14ac:dyDescent="0.3">
      <c r="A277">
        <v>376</v>
      </c>
      <c r="B277" t="s">
        <v>11</v>
      </c>
      <c r="C277">
        <v>30</v>
      </c>
      <c r="D277" t="s">
        <v>12</v>
      </c>
      <c r="E277" t="s">
        <v>13</v>
      </c>
      <c r="F277">
        <v>1190.8</v>
      </c>
      <c r="G277">
        <v>16</v>
      </c>
      <c r="H277">
        <v>4.5</v>
      </c>
      <c r="I277" t="b">
        <v>1</v>
      </c>
      <c r="J277">
        <v>23</v>
      </c>
      <c r="K277" t="s">
        <v>14</v>
      </c>
      <c r="L277" t="str" cm="1">
        <f t="array" ref="L277">_xlfn.IFS(
J277&lt;=15,"Active",
J277&lt;=30,"Warm",
J277&gt;30,"Inactive"
)</f>
        <v>Warm</v>
      </c>
      <c r="M277" t="str">
        <f t="shared" si="4"/>
        <v>High Value</v>
      </c>
      <c r="N277" t="str" cm="1">
        <f t="array" ref="N277">_xlfn.IFS(
C277&lt;=28,"25-28",
C277&lt;=32,"29-32",
C277&lt;=36,"33-36",
C277&lt;=40,"37-40",
C277&lt;=45,"41-45"
)</f>
        <v>29-32</v>
      </c>
    </row>
    <row r="278" spans="1:14" x14ac:dyDescent="0.3">
      <c r="A278">
        <v>377</v>
      </c>
      <c r="B278" t="s">
        <v>15</v>
      </c>
      <c r="C278">
        <v>33</v>
      </c>
      <c r="D278" t="s">
        <v>16</v>
      </c>
      <c r="E278" t="s">
        <v>17</v>
      </c>
      <c r="F278">
        <v>770.2</v>
      </c>
      <c r="G278">
        <v>11</v>
      </c>
      <c r="H278">
        <v>4.2</v>
      </c>
      <c r="I278" t="b">
        <v>0</v>
      </c>
      <c r="J278">
        <v>18</v>
      </c>
      <c r="K278" t="s">
        <v>18</v>
      </c>
      <c r="L278" t="str" cm="1">
        <f t="array" ref="L278">_xlfn.IFS(
J278&lt;=15,"Active",
J278&lt;=30,"Warm",
J278&gt;30,"Inactive"
)</f>
        <v>Warm</v>
      </c>
      <c r="M278" t="str">
        <f t="shared" si="4"/>
        <v>Medium Value</v>
      </c>
      <c r="N278" t="str" cm="1">
        <f t="array" ref="N278">_xlfn.IFS(
C278&lt;=28,"25-28",
C278&lt;=32,"29-32",
C278&lt;=36,"33-36",
C278&lt;=40,"37-40",
C278&lt;=45,"41-45"
)</f>
        <v>33-36</v>
      </c>
    </row>
    <row r="279" spans="1:14" x14ac:dyDescent="0.3">
      <c r="A279">
        <v>378</v>
      </c>
      <c r="B279" t="s">
        <v>11</v>
      </c>
      <c r="C279">
        <v>43</v>
      </c>
      <c r="D279" t="s">
        <v>19</v>
      </c>
      <c r="E279" t="s">
        <v>20</v>
      </c>
      <c r="F279">
        <v>515.75</v>
      </c>
      <c r="G279">
        <v>10</v>
      </c>
      <c r="H279">
        <v>3.3</v>
      </c>
      <c r="I279" t="b">
        <v>1</v>
      </c>
      <c r="J279">
        <v>43</v>
      </c>
      <c r="K279" t="s">
        <v>21</v>
      </c>
      <c r="L279" t="str" cm="1">
        <f t="array" ref="L279">_xlfn.IFS(
J279&lt;=15,"Active",
J279&lt;=30,"Warm",
J279&gt;30,"Inactive"
)</f>
        <v>Inactive</v>
      </c>
      <c r="M279" t="str">
        <f t="shared" si="4"/>
        <v>Medium Value</v>
      </c>
      <c r="N279" t="str" cm="1">
        <f t="array" ref="N279">_xlfn.IFS(
C279&lt;=28,"25-28",
C279&lt;=32,"29-32",
C279&lt;=36,"33-36",
C279&lt;=40,"37-40",
C279&lt;=45,"41-45"
)</f>
        <v>41-45</v>
      </c>
    </row>
    <row r="280" spans="1:14" x14ac:dyDescent="0.3">
      <c r="A280">
        <v>379</v>
      </c>
      <c r="B280" t="s">
        <v>15</v>
      </c>
      <c r="C280">
        <v>30</v>
      </c>
      <c r="D280" t="s">
        <v>22</v>
      </c>
      <c r="E280" t="s">
        <v>13</v>
      </c>
      <c r="F280">
        <v>1450.5</v>
      </c>
      <c r="G280">
        <v>19</v>
      </c>
      <c r="H280">
        <v>4.5999999999999996</v>
      </c>
      <c r="I280" t="b">
        <v>0</v>
      </c>
      <c r="J280">
        <v>12</v>
      </c>
      <c r="K280" t="s">
        <v>14</v>
      </c>
      <c r="L280" t="str" cm="1">
        <f t="array" ref="L280">_xlfn.IFS(
J280&lt;=15,"Active",
J280&lt;=30,"Warm",
J280&gt;30,"Inactive"
)</f>
        <v>Active</v>
      </c>
      <c r="M280" t="str">
        <f t="shared" si="4"/>
        <v>High Value</v>
      </c>
      <c r="N280" t="str" cm="1">
        <f t="array" ref="N280">_xlfn.IFS(
C280&lt;=28,"25-28",
C280&lt;=32,"29-32",
C280&lt;=36,"33-36",
C280&lt;=40,"37-40",
C280&lt;=45,"41-45"
)</f>
        <v>29-32</v>
      </c>
    </row>
    <row r="281" spans="1:14" x14ac:dyDescent="0.3">
      <c r="A281">
        <v>380</v>
      </c>
      <c r="B281" t="s">
        <v>15</v>
      </c>
      <c r="C281">
        <v>27</v>
      </c>
      <c r="D281" t="s">
        <v>23</v>
      </c>
      <c r="E281" t="s">
        <v>17</v>
      </c>
      <c r="F281">
        <v>710.4</v>
      </c>
      <c r="G281">
        <v>13</v>
      </c>
      <c r="H281">
        <v>4.0999999999999996</v>
      </c>
      <c r="I281" t="b">
        <v>1</v>
      </c>
      <c r="J281">
        <v>58</v>
      </c>
      <c r="K281" t="s">
        <v>21</v>
      </c>
      <c r="L281" t="str" cm="1">
        <f t="array" ref="L281">_xlfn.IFS(
J281&lt;=15,"Active",
J281&lt;=30,"Warm",
J281&gt;30,"Inactive"
)</f>
        <v>Inactive</v>
      </c>
      <c r="M281" t="str">
        <f t="shared" si="4"/>
        <v>Medium Value</v>
      </c>
      <c r="N281" t="str" cm="1">
        <f t="array" ref="N281">_xlfn.IFS(
C281&lt;=28,"25-28",
C281&lt;=32,"29-32",
C281&lt;=36,"33-36",
C281&lt;=40,"37-40",
C281&lt;=45,"41-45"
)</f>
        <v>25-28</v>
      </c>
    </row>
    <row r="282" spans="1:14" x14ac:dyDescent="0.3">
      <c r="A282">
        <v>381</v>
      </c>
      <c r="B282" t="s">
        <v>11</v>
      </c>
      <c r="C282">
        <v>37</v>
      </c>
      <c r="D282" t="s">
        <v>24</v>
      </c>
      <c r="E282" t="s">
        <v>20</v>
      </c>
      <c r="F282">
        <v>430.8</v>
      </c>
      <c r="G282">
        <v>7</v>
      </c>
      <c r="H282">
        <v>3.4</v>
      </c>
      <c r="I282" t="b">
        <v>0</v>
      </c>
      <c r="J282">
        <v>27</v>
      </c>
      <c r="K282" t="s">
        <v>18</v>
      </c>
      <c r="L282" t="str" cm="1">
        <f t="array" ref="L282">_xlfn.IFS(
J282&lt;=15,"Active",
J282&lt;=30,"Warm",
J282&gt;30,"Inactive"
)</f>
        <v>Warm</v>
      </c>
      <c r="M282" t="str">
        <f t="shared" si="4"/>
        <v>Low Value</v>
      </c>
      <c r="N282" t="str" cm="1">
        <f t="array" ref="N282">_xlfn.IFS(
C282&lt;=28,"25-28",
C282&lt;=32,"29-32",
C282&lt;=36,"33-36",
C282&lt;=40,"37-40",
C282&lt;=45,"41-45"
)</f>
        <v>37-40</v>
      </c>
    </row>
    <row r="283" spans="1:14" x14ac:dyDescent="0.3">
      <c r="A283">
        <v>382</v>
      </c>
      <c r="B283" t="s">
        <v>11</v>
      </c>
      <c r="C283">
        <v>31</v>
      </c>
      <c r="D283" t="s">
        <v>12</v>
      </c>
      <c r="E283" t="s">
        <v>13</v>
      </c>
      <c r="F283">
        <v>1160.5999999999999</v>
      </c>
      <c r="G283">
        <v>15</v>
      </c>
      <c r="H283">
        <v>4.5</v>
      </c>
      <c r="I283" t="b">
        <v>1</v>
      </c>
      <c r="J283">
        <v>31</v>
      </c>
      <c r="K283" t="s">
        <v>14</v>
      </c>
      <c r="L283" t="str" cm="1">
        <f t="array" ref="L283">_xlfn.IFS(
J283&lt;=15,"Active",
J283&lt;=30,"Warm",
J283&gt;30,"Inactive"
)</f>
        <v>Inactive</v>
      </c>
      <c r="M283" t="str">
        <f t="shared" si="4"/>
        <v>High Value</v>
      </c>
      <c r="N283" t="str" cm="1">
        <f t="array" ref="N283">_xlfn.IFS(
C283&lt;=28,"25-28",
C283&lt;=32,"29-32",
C283&lt;=36,"33-36",
C283&lt;=40,"37-40",
C283&lt;=45,"41-45"
)</f>
        <v>29-32</v>
      </c>
    </row>
    <row r="284" spans="1:14" x14ac:dyDescent="0.3">
      <c r="A284">
        <v>383</v>
      </c>
      <c r="B284" t="s">
        <v>15</v>
      </c>
      <c r="C284">
        <v>35</v>
      </c>
      <c r="D284" t="s">
        <v>16</v>
      </c>
      <c r="E284" t="s">
        <v>17</v>
      </c>
      <c r="F284">
        <v>820.9</v>
      </c>
      <c r="G284">
        <v>12</v>
      </c>
      <c r="H284">
        <v>4.3</v>
      </c>
      <c r="I284" t="b">
        <v>0</v>
      </c>
      <c r="J284">
        <v>15</v>
      </c>
      <c r="K284" t="s">
        <v>18</v>
      </c>
      <c r="L284" t="str" cm="1">
        <f t="array" ref="L284">_xlfn.IFS(
J284&lt;=15,"Active",
J284&lt;=30,"Warm",
J284&gt;30,"Inactive"
)</f>
        <v>Active</v>
      </c>
      <c r="M284" t="str">
        <f t="shared" si="4"/>
        <v>Medium Value</v>
      </c>
      <c r="N284" t="str" cm="1">
        <f t="array" ref="N284">_xlfn.IFS(
C284&lt;=28,"25-28",
C284&lt;=32,"29-32",
C284&lt;=36,"33-36",
C284&lt;=40,"37-40",
C284&lt;=45,"41-45"
)</f>
        <v>33-36</v>
      </c>
    </row>
    <row r="285" spans="1:14" x14ac:dyDescent="0.3">
      <c r="A285">
        <v>384</v>
      </c>
      <c r="B285" t="s">
        <v>11</v>
      </c>
      <c r="C285">
        <v>41</v>
      </c>
      <c r="D285" t="s">
        <v>19</v>
      </c>
      <c r="E285" t="s">
        <v>20</v>
      </c>
      <c r="F285">
        <v>495.25</v>
      </c>
      <c r="G285">
        <v>9</v>
      </c>
      <c r="H285">
        <v>3.6</v>
      </c>
      <c r="I285" t="b">
        <v>1</v>
      </c>
      <c r="J285">
        <v>43</v>
      </c>
      <c r="K285" t="s">
        <v>21</v>
      </c>
      <c r="L285" t="str" cm="1">
        <f t="array" ref="L285">_xlfn.IFS(
J285&lt;=15,"Active",
J285&lt;=30,"Warm",
J285&gt;30,"Inactive"
)</f>
        <v>Inactive</v>
      </c>
      <c r="M285" t="str">
        <f t="shared" si="4"/>
        <v>Low Value</v>
      </c>
      <c r="N285" t="str" cm="1">
        <f t="array" ref="N285">_xlfn.IFS(
C285&lt;=28,"25-28",
C285&lt;=32,"29-32",
C285&lt;=36,"33-36",
C285&lt;=40,"37-40",
C285&lt;=45,"41-45"
)</f>
        <v>41-45</v>
      </c>
    </row>
    <row r="286" spans="1:14" x14ac:dyDescent="0.3">
      <c r="A286">
        <v>385</v>
      </c>
      <c r="B286" t="s">
        <v>15</v>
      </c>
      <c r="C286">
        <v>28</v>
      </c>
      <c r="D286" t="s">
        <v>22</v>
      </c>
      <c r="E286" t="s">
        <v>13</v>
      </c>
      <c r="F286">
        <v>1490.1</v>
      </c>
      <c r="G286">
        <v>21</v>
      </c>
      <c r="H286">
        <v>4.9000000000000004</v>
      </c>
      <c r="I286" t="b">
        <v>0</v>
      </c>
      <c r="J286">
        <v>10</v>
      </c>
      <c r="K286" t="s">
        <v>14</v>
      </c>
      <c r="L286" t="str" cm="1">
        <f t="array" ref="L286">_xlfn.IFS(
J286&lt;=15,"Active",
J286&lt;=30,"Warm",
J286&gt;30,"Inactive"
)</f>
        <v>Active</v>
      </c>
      <c r="M286" t="str">
        <f t="shared" si="4"/>
        <v>High Value</v>
      </c>
      <c r="N286" t="str" cm="1">
        <f t="array" ref="N286">_xlfn.IFS(
C286&lt;=28,"25-28",
C286&lt;=32,"29-32",
C286&lt;=36,"33-36",
C286&lt;=40,"37-40",
C286&lt;=45,"41-45"
)</f>
        <v>25-28</v>
      </c>
    </row>
    <row r="287" spans="1:14" x14ac:dyDescent="0.3">
      <c r="A287">
        <v>386</v>
      </c>
      <c r="B287" t="s">
        <v>15</v>
      </c>
      <c r="C287">
        <v>32</v>
      </c>
      <c r="D287" t="s">
        <v>23</v>
      </c>
      <c r="E287" t="s">
        <v>17</v>
      </c>
      <c r="F287">
        <v>660.3</v>
      </c>
      <c r="G287">
        <v>10</v>
      </c>
      <c r="H287">
        <v>3.8</v>
      </c>
      <c r="I287" t="b">
        <v>1</v>
      </c>
      <c r="J287">
        <v>37</v>
      </c>
      <c r="K287" t="s">
        <v>21</v>
      </c>
      <c r="L287" t="str" cm="1">
        <f t="array" ref="L287">_xlfn.IFS(
J287&lt;=15,"Active",
J287&lt;=30,"Warm",
J287&gt;30,"Inactive"
)</f>
        <v>Inactive</v>
      </c>
      <c r="M287" t="str">
        <f t="shared" si="4"/>
        <v>Medium Value</v>
      </c>
      <c r="N287" t="str" cm="1">
        <f t="array" ref="N287">_xlfn.IFS(
C287&lt;=28,"25-28",
C287&lt;=32,"29-32",
C287&lt;=36,"33-36",
C287&lt;=40,"37-40",
C287&lt;=45,"41-45"
)</f>
        <v>29-32</v>
      </c>
    </row>
    <row r="288" spans="1:14" x14ac:dyDescent="0.3">
      <c r="A288">
        <v>387</v>
      </c>
      <c r="B288" t="s">
        <v>11</v>
      </c>
      <c r="C288">
        <v>36</v>
      </c>
      <c r="D288" t="s">
        <v>24</v>
      </c>
      <c r="E288" t="s">
        <v>20</v>
      </c>
      <c r="F288">
        <v>440.5</v>
      </c>
      <c r="G288">
        <v>8</v>
      </c>
      <c r="H288">
        <v>3.1</v>
      </c>
      <c r="I288" t="b">
        <v>0</v>
      </c>
      <c r="J288">
        <v>23</v>
      </c>
      <c r="K288" t="s">
        <v>18</v>
      </c>
      <c r="L288" t="str" cm="1">
        <f t="array" ref="L288">_xlfn.IFS(
J288&lt;=15,"Active",
J288&lt;=30,"Warm",
J288&gt;30,"Inactive"
)</f>
        <v>Warm</v>
      </c>
      <c r="M288" t="str">
        <f t="shared" si="4"/>
        <v>Low Value</v>
      </c>
      <c r="N288" t="str" cm="1">
        <f t="array" ref="N288">_xlfn.IFS(
C288&lt;=28,"25-28",
C288&lt;=32,"29-32",
C288&lt;=36,"33-36",
C288&lt;=40,"37-40",
C288&lt;=45,"41-45"
)</f>
        <v>33-36</v>
      </c>
    </row>
    <row r="289" spans="1:14" x14ac:dyDescent="0.3">
      <c r="A289">
        <v>388</v>
      </c>
      <c r="B289" t="s">
        <v>11</v>
      </c>
      <c r="C289">
        <v>30</v>
      </c>
      <c r="D289" t="s">
        <v>12</v>
      </c>
      <c r="E289" t="s">
        <v>13</v>
      </c>
      <c r="F289">
        <v>1200.8</v>
      </c>
      <c r="G289">
        <v>16</v>
      </c>
      <c r="H289">
        <v>4.7</v>
      </c>
      <c r="I289" t="b">
        <v>1</v>
      </c>
      <c r="J289">
        <v>24</v>
      </c>
      <c r="K289" t="s">
        <v>14</v>
      </c>
      <c r="L289" t="str" cm="1">
        <f t="array" ref="L289">_xlfn.IFS(
J289&lt;=15,"Active",
J289&lt;=30,"Warm",
J289&gt;30,"Inactive"
)</f>
        <v>Warm</v>
      </c>
      <c r="M289" t="str">
        <f t="shared" si="4"/>
        <v>High Value</v>
      </c>
      <c r="N289" t="str" cm="1">
        <f t="array" ref="N289">_xlfn.IFS(
C289&lt;=28,"25-28",
C289&lt;=32,"29-32",
C289&lt;=36,"33-36",
C289&lt;=40,"37-40",
C289&lt;=45,"41-45"
)</f>
        <v>29-32</v>
      </c>
    </row>
    <row r="290" spans="1:14" x14ac:dyDescent="0.3">
      <c r="A290">
        <v>389</v>
      </c>
      <c r="B290" t="s">
        <v>15</v>
      </c>
      <c r="C290">
        <v>34</v>
      </c>
      <c r="D290" t="s">
        <v>16</v>
      </c>
      <c r="E290" t="s">
        <v>17</v>
      </c>
      <c r="F290">
        <v>780.2</v>
      </c>
      <c r="G290">
        <v>11</v>
      </c>
      <c r="H290">
        <v>4.0999999999999996</v>
      </c>
      <c r="I290" t="b">
        <v>0</v>
      </c>
      <c r="J290">
        <v>16</v>
      </c>
      <c r="K290" t="s">
        <v>18</v>
      </c>
      <c r="L290" t="str" cm="1">
        <f t="array" ref="L290">_xlfn.IFS(
J290&lt;=15,"Active",
J290&lt;=30,"Warm",
J290&gt;30,"Inactive"
)</f>
        <v>Warm</v>
      </c>
      <c r="M290" t="str">
        <f t="shared" si="4"/>
        <v>Medium Value</v>
      </c>
      <c r="N290" t="str" cm="1">
        <f t="array" ref="N290">_xlfn.IFS(
C290&lt;=28,"25-28",
C290&lt;=32,"29-32",
C290&lt;=36,"33-36",
C290&lt;=40,"37-40",
C290&lt;=45,"41-45"
)</f>
        <v>33-36</v>
      </c>
    </row>
    <row r="291" spans="1:14" x14ac:dyDescent="0.3">
      <c r="A291">
        <v>390</v>
      </c>
      <c r="B291" t="s">
        <v>11</v>
      </c>
      <c r="C291">
        <v>43</v>
      </c>
      <c r="D291" t="s">
        <v>19</v>
      </c>
      <c r="E291" t="s">
        <v>20</v>
      </c>
      <c r="F291">
        <v>505.75</v>
      </c>
      <c r="G291">
        <v>10</v>
      </c>
      <c r="H291">
        <v>3.3</v>
      </c>
      <c r="I291" t="b">
        <v>1</v>
      </c>
      <c r="J291">
        <v>44</v>
      </c>
      <c r="K291" t="s">
        <v>21</v>
      </c>
      <c r="L291" t="str" cm="1">
        <f t="array" ref="L291">_xlfn.IFS(
J291&lt;=15,"Active",
J291&lt;=30,"Warm",
J291&gt;30,"Inactive"
)</f>
        <v>Inactive</v>
      </c>
      <c r="M291" t="str">
        <f t="shared" si="4"/>
        <v>Medium Value</v>
      </c>
      <c r="N291" t="str" cm="1">
        <f t="array" ref="N291">_xlfn.IFS(
C291&lt;=28,"25-28",
C291&lt;=32,"29-32",
C291&lt;=36,"33-36",
C291&lt;=40,"37-40",
C291&lt;=45,"41-45"
)</f>
        <v>41-45</v>
      </c>
    </row>
    <row r="292" spans="1:14" x14ac:dyDescent="0.3">
      <c r="A292">
        <v>391</v>
      </c>
      <c r="B292" t="s">
        <v>15</v>
      </c>
      <c r="C292">
        <v>30</v>
      </c>
      <c r="D292" t="s">
        <v>22</v>
      </c>
      <c r="E292" t="s">
        <v>13</v>
      </c>
      <c r="F292">
        <v>1460.5</v>
      </c>
      <c r="G292">
        <v>20</v>
      </c>
      <c r="H292">
        <v>4.8</v>
      </c>
      <c r="I292" t="b">
        <v>0</v>
      </c>
      <c r="J292">
        <v>13</v>
      </c>
      <c r="K292" t="s">
        <v>14</v>
      </c>
      <c r="L292" t="str" cm="1">
        <f t="array" ref="L292">_xlfn.IFS(
J292&lt;=15,"Active",
J292&lt;=30,"Warm",
J292&gt;30,"Inactive"
)</f>
        <v>Active</v>
      </c>
      <c r="M292" t="str">
        <f t="shared" si="4"/>
        <v>High Value</v>
      </c>
      <c r="N292" t="str" cm="1">
        <f t="array" ref="N292">_xlfn.IFS(
C292&lt;=28,"25-28",
C292&lt;=32,"29-32",
C292&lt;=36,"33-36",
C292&lt;=40,"37-40",
C292&lt;=45,"41-45"
)</f>
        <v>29-32</v>
      </c>
    </row>
    <row r="293" spans="1:14" x14ac:dyDescent="0.3">
      <c r="A293">
        <v>392</v>
      </c>
      <c r="B293" t="s">
        <v>15</v>
      </c>
      <c r="C293">
        <v>27</v>
      </c>
      <c r="D293" t="s">
        <v>23</v>
      </c>
      <c r="E293" t="s">
        <v>17</v>
      </c>
      <c r="F293">
        <v>710.4</v>
      </c>
      <c r="G293">
        <v>13</v>
      </c>
      <c r="H293">
        <v>4.0999999999999996</v>
      </c>
      <c r="I293" t="b">
        <v>1</v>
      </c>
      <c r="J293">
        <v>59</v>
      </c>
      <c r="K293" t="s">
        <v>21</v>
      </c>
      <c r="L293" t="str" cm="1">
        <f t="array" ref="L293">_xlfn.IFS(
J293&lt;=15,"Active",
J293&lt;=30,"Warm",
J293&gt;30,"Inactive"
)</f>
        <v>Inactive</v>
      </c>
      <c r="M293" t="str">
        <f t="shared" si="4"/>
        <v>Medium Value</v>
      </c>
      <c r="N293" t="str" cm="1">
        <f t="array" ref="N293">_xlfn.IFS(
C293&lt;=28,"25-28",
C293&lt;=32,"29-32",
C293&lt;=36,"33-36",
C293&lt;=40,"37-40",
C293&lt;=45,"41-45"
)</f>
        <v>25-28</v>
      </c>
    </row>
    <row r="294" spans="1:14" x14ac:dyDescent="0.3">
      <c r="A294">
        <v>393</v>
      </c>
      <c r="B294" t="s">
        <v>11</v>
      </c>
      <c r="C294">
        <v>37</v>
      </c>
      <c r="D294" t="s">
        <v>24</v>
      </c>
      <c r="E294" t="s">
        <v>20</v>
      </c>
      <c r="F294">
        <v>450.8</v>
      </c>
      <c r="G294">
        <v>7</v>
      </c>
      <c r="H294">
        <v>3.4</v>
      </c>
      <c r="I294" t="b">
        <v>0</v>
      </c>
      <c r="J294">
        <v>28</v>
      </c>
      <c r="K294" t="s">
        <v>18</v>
      </c>
      <c r="L294" t="str" cm="1">
        <f t="array" ref="L294">_xlfn.IFS(
J294&lt;=15,"Active",
J294&lt;=30,"Warm",
J294&gt;30,"Inactive"
)</f>
        <v>Warm</v>
      </c>
      <c r="M294" t="str">
        <f t="shared" si="4"/>
        <v>Low Value</v>
      </c>
      <c r="N294" t="str" cm="1">
        <f t="array" ref="N294">_xlfn.IFS(
C294&lt;=28,"25-28",
C294&lt;=32,"29-32",
C294&lt;=36,"33-36",
C294&lt;=40,"37-40",
C294&lt;=45,"41-45"
)</f>
        <v>37-40</v>
      </c>
    </row>
    <row r="295" spans="1:14" x14ac:dyDescent="0.3">
      <c r="A295">
        <v>394</v>
      </c>
      <c r="B295" t="s">
        <v>11</v>
      </c>
      <c r="C295">
        <v>31</v>
      </c>
      <c r="D295" t="s">
        <v>12</v>
      </c>
      <c r="E295" t="s">
        <v>13</v>
      </c>
      <c r="F295">
        <v>1140.5999999999999</v>
      </c>
      <c r="G295">
        <v>15</v>
      </c>
      <c r="H295">
        <v>4.5</v>
      </c>
      <c r="I295" t="b">
        <v>1</v>
      </c>
      <c r="J295">
        <v>32</v>
      </c>
      <c r="K295" t="s">
        <v>14</v>
      </c>
      <c r="L295" t="str" cm="1">
        <f t="array" ref="L295">_xlfn.IFS(
J295&lt;=15,"Active",
J295&lt;=30,"Warm",
J295&gt;30,"Inactive"
)</f>
        <v>Inactive</v>
      </c>
      <c r="M295" t="str">
        <f t="shared" si="4"/>
        <v>High Value</v>
      </c>
      <c r="N295" t="str" cm="1">
        <f t="array" ref="N295">_xlfn.IFS(
C295&lt;=28,"25-28",
C295&lt;=32,"29-32",
C295&lt;=36,"33-36",
C295&lt;=40,"37-40",
C295&lt;=45,"41-45"
)</f>
        <v>29-32</v>
      </c>
    </row>
    <row r="296" spans="1:14" x14ac:dyDescent="0.3">
      <c r="A296">
        <v>395</v>
      </c>
      <c r="B296" t="s">
        <v>15</v>
      </c>
      <c r="C296">
        <v>35</v>
      </c>
      <c r="D296" t="s">
        <v>16</v>
      </c>
      <c r="E296" t="s">
        <v>17</v>
      </c>
      <c r="F296">
        <v>800.9</v>
      </c>
      <c r="G296">
        <v>12</v>
      </c>
      <c r="H296">
        <v>4.0999999999999996</v>
      </c>
      <c r="I296" t="b">
        <v>0</v>
      </c>
      <c r="J296">
        <v>17</v>
      </c>
      <c r="K296" t="s">
        <v>18</v>
      </c>
      <c r="L296" t="str" cm="1">
        <f t="array" ref="L296">_xlfn.IFS(
J296&lt;=15,"Active",
J296&lt;=30,"Warm",
J296&gt;30,"Inactive"
)</f>
        <v>Warm</v>
      </c>
      <c r="M296" t="str">
        <f t="shared" si="4"/>
        <v>Medium Value</v>
      </c>
      <c r="N296" t="str" cm="1">
        <f t="array" ref="N296">_xlfn.IFS(
C296&lt;=28,"25-28",
C296&lt;=32,"29-32",
C296&lt;=36,"33-36",
C296&lt;=40,"37-40",
C296&lt;=45,"41-45"
)</f>
        <v>33-36</v>
      </c>
    </row>
    <row r="297" spans="1:14" x14ac:dyDescent="0.3">
      <c r="A297">
        <v>396</v>
      </c>
      <c r="B297" t="s">
        <v>11</v>
      </c>
      <c r="C297">
        <v>41</v>
      </c>
      <c r="D297" t="s">
        <v>19</v>
      </c>
      <c r="E297" t="s">
        <v>20</v>
      </c>
      <c r="F297">
        <v>475.25</v>
      </c>
      <c r="G297">
        <v>9</v>
      </c>
      <c r="H297">
        <v>3.6</v>
      </c>
      <c r="I297" t="b">
        <v>1</v>
      </c>
      <c r="J297">
        <v>44</v>
      </c>
      <c r="K297" t="s">
        <v>21</v>
      </c>
      <c r="L297" t="str" cm="1">
        <f t="array" ref="L297">_xlfn.IFS(
J297&lt;=15,"Active",
J297&lt;=30,"Warm",
J297&gt;30,"Inactive"
)</f>
        <v>Inactive</v>
      </c>
      <c r="M297" t="str">
        <f t="shared" si="4"/>
        <v>Low Value</v>
      </c>
      <c r="N297" t="str" cm="1">
        <f t="array" ref="N297">_xlfn.IFS(
C297&lt;=28,"25-28",
C297&lt;=32,"29-32",
C297&lt;=36,"33-36",
C297&lt;=40,"37-40",
C297&lt;=45,"41-45"
)</f>
        <v>41-45</v>
      </c>
    </row>
    <row r="298" spans="1:14" x14ac:dyDescent="0.3">
      <c r="A298">
        <v>397</v>
      </c>
      <c r="B298" t="s">
        <v>15</v>
      </c>
      <c r="C298">
        <v>28</v>
      </c>
      <c r="D298" t="s">
        <v>22</v>
      </c>
      <c r="E298" t="s">
        <v>13</v>
      </c>
      <c r="F298">
        <v>1480.1</v>
      </c>
      <c r="G298">
        <v>21</v>
      </c>
      <c r="H298">
        <v>4.9000000000000004</v>
      </c>
      <c r="I298" t="b">
        <v>0</v>
      </c>
      <c r="J298">
        <v>12</v>
      </c>
      <c r="K298" t="s">
        <v>14</v>
      </c>
      <c r="L298" t="str" cm="1">
        <f t="array" ref="L298">_xlfn.IFS(
J298&lt;=15,"Active",
J298&lt;=30,"Warm",
J298&gt;30,"Inactive"
)</f>
        <v>Active</v>
      </c>
      <c r="M298" t="str">
        <f t="shared" si="4"/>
        <v>High Value</v>
      </c>
      <c r="N298" t="str" cm="1">
        <f t="array" ref="N298">_xlfn.IFS(
C298&lt;=28,"25-28",
C298&lt;=32,"29-32",
C298&lt;=36,"33-36",
C298&lt;=40,"37-40",
C298&lt;=45,"41-45"
)</f>
        <v>25-28</v>
      </c>
    </row>
    <row r="299" spans="1:14" x14ac:dyDescent="0.3">
      <c r="A299">
        <v>398</v>
      </c>
      <c r="B299" t="s">
        <v>15</v>
      </c>
      <c r="C299">
        <v>32</v>
      </c>
      <c r="D299" t="s">
        <v>23</v>
      </c>
      <c r="E299" t="s">
        <v>17</v>
      </c>
      <c r="F299">
        <v>660.3</v>
      </c>
      <c r="G299">
        <v>10</v>
      </c>
      <c r="H299">
        <v>3.8</v>
      </c>
      <c r="I299" t="b">
        <v>1</v>
      </c>
      <c r="J299">
        <v>38</v>
      </c>
      <c r="K299" t="s">
        <v>21</v>
      </c>
      <c r="L299" t="str" cm="1">
        <f t="array" ref="L299">_xlfn.IFS(
J299&lt;=15,"Active",
J299&lt;=30,"Warm",
J299&gt;30,"Inactive"
)</f>
        <v>Inactive</v>
      </c>
      <c r="M299" t="str">
        <f t="shared" si="4"/>
        <v>Medium Value</v>
      </c>
      <c r="N299" t="str" cm="1">
        <f t="array" ref="N299">_xlfn.IFS(
C299&lt;=28,"25-28",
C299&lt;=32,"29-32",
C299&lt;=36,"33-36",
C299&lt;=40,"37-40",
C299&lt;=45,"41-45"
)</f>
        <v>29-32</v>
      </c>
    </row>
    <row r="300" spans="1:14" x14ac:dyDescent="0.3">
      <c r="A300">
        <v>399</v>
      </c>
      <c r="B300" t="s">
        <v>11</v>
      </c>
      <c r="C300">
        <v>36</v>
      </c>
      <c r="D300" t="s">
        <v>24</v>
      </c>
      <c r="E300" t="s">
        <v>20</v>
      </c>
      <c r="F300">
        <v>470.5</v>
      </c>
      <c r="G300">
        <v>8</v>
      </c>
      <c r="H300">
        <v>3</v>
      </c>
      <c r="I300" t="b">
        <v>0</v>
      </c>
      <c r="J300">
        <v>22</v>
      </c>
      <c r="K300" t="s">
        <v>18</v>
      </c>
      <c r="L300" t="str" cm="1">
        <f t="array" ref="L300">_xlfn.IFS(
J300&lt;=15,"Active",
J300&lt;=30,"Warm",
J300&gt;30,"Inactive"
)</f>
        <v>Warm</v>
      </c>
      <c r="M300" t="str">
        <f t="shared" si="4"/>
        <v>Low Value</v>
      </c>
      <c r="N300" t="str" cm="1">
        <f t="array" ref="N300">_xlfn.IFS(
C300&lt;=28,"25-28",
C300&lt;=32,"29-32",
C300&lt;=36,"33-36",
C300&lt;=40,"37-40",
C300&lt;=45,"41-45"
)</f>
        <v>33-36</v>
      </c>
    </row>
    <row r="301" spans="1:14" x14ac:dyDescent="0.3">
      <c r="A301">
        <v>400</v>
      </c>
      <c r="B301" t="s">
        <v>11</v>
      </c>
      <c r="C301">
        <v>30</v>
      </c>
      <c r="D301" t="s">
        <v>12</v>
      </c>
      <c r="E301" t="s">
        <v>13</v>
      </c>
      <c r="F301">
        <v>1190.8</v>
      </c>
      <c r="G301">
        <v>16</v>
      </c>
      <c r="H301">
        <v>4.5</v>
      </c>
      <c r="I301" t="b">
        <v>1</v>
      </c>
      <c r="J301">
        <v>25</v>
      </c>
      <c r="K301" t="s">
        <v>14</v>
      </c>
      <c r="L301" t="str" cm="1">
        <f t="array" ref="L301">_xlfn.IFS(
J301&lt;=15,"Active",
J301&lt;=30,"Warm",
J301&gt;30,"Inactive"
)</f>
        <v>Warm</v>
      </c>
      <c r="M301" t="str">
        <f t="shared" si="4"/>
        <v>High Value</v>
      </c>
      <c r="N301" t="str" cm="1">
        <f t="array" ref="N301">_xlfn.IFS(
C301&lt;=28,"25-28",
C301&lt;=32,"29-32",
C301&lt;=36,"33-36",
C301&lt;=40,"37-40",
C301&lt;=45,"41-45"
)</f>
        <v>29-32</v>
      </c>
    </row>
    <row r="302" spans="1:14" x14ac:dyDescent="0.3">
      <c r="A302">
        <v>401</v>
      </c>
      <c r="B302" t="s">
        <v>15</v>
      </c>
      <c r="C302">
        <v>33</v>
      </c>
      <c r="D302" t="s">
        <v>16</v>
      </c>
      <c r="E302" t="s">
        <v>17</v>
      </c>
      <c r="F302">
        <v>800.2</v>
      </c>
      <c r="G302">
        <v>11</v>
      </c>
      <c r="H302">
        <v>4.0999999999999996</v>
      </c>
      <c r="I302" t="b">
        <v>0</v>
      </c>
      <c r="J302">
        <v>18</v>
      </c>
      <c r="K302" t="s">
        <v>18</v>
      </c>
      <c r="L302" t="str" cm="1">
        <f t="array" ref="L302">_xlfn.IFS(
J302&lt;=15,"Active",
J302&lt;=30,"Warm",
J302&gt;30,"Inactive"
)</f>
        <v>Warm</v>
      </c>
      <c r="M302" t="str">
        <f t="shared" si="4"/>
        <v>Medium Value</v>
      </c>
      <c r="N302" t="str" cm="1">
        <f t="array" ref="N302">_xlfn.IFS(
C302&lt;=28,"25-28",
C302&lt;=32,"29-32",
C302&lt;=36,"33-36",
C302&lt;=40,"37-40",
C302&lt;=45,"41-45"
)</f>
        <v>33-36</v>
      </c>
    </row>
    <row r="303" spans="1:14" x14ac:dyDescent="0.3">
      <c r="A303">
        <v>402</v>
      </c>
      <c r="B303" t="s">
        <v>11</v>
      </c>
      <c r="C303">
        <v>43</v>
      </c>
      <c r="D303" t="s">
        <v>19</v>
      </c>
      <c r="E303" t="s">
        <v>20</v>
      </c>
      <c r="F303">
        <v>515.75</v>
      </c>
      <c r="G303">
        <v>10</v>
      </c>
      <c r="H303">
        <v>3.3</v>
      </c>
      <c r="I303" t="b">
        <v>1</v>
      </c>
      <c r="J303">
        <v>45</v>
      </c>
      <c r="K303" t="s">
        <v>21</v>
      </c>
      <c r="L303" t="str" cm="1">
        <f t="array" ref="L303">_xlfn.IFS(
J303&lt;=15,"Active",
J303&lt;=30,"Warm",
J303&gt;30,"Inactive"
)</f>
        <v>Inactive</v>
      </c>
      <c r="M303" t="str">
        <f t="shared" si="4"/>
        <v>Medium Value</v>
      </c>
      <c r="N303" t="str" cm="1">
        <f t="array" ref="N303">_xlfn.IFS(
C303&lt;=28,"25-28",
C303&lt;=32,"29-32",
C303&lt;=36,"33-36",
C303&lt;=40,"37-40",
C303&lt;=45,"41-45"
)</f>
        <v>41-45</v>
      </c>
    </row>
    <row r="304" spans="1:14" x14ac:dyDescent="0.3">
      <c r="A304">
        <v>403</v>
      </c>
      <c r="B304" t="s">
        <v>15</v>
      </c>
      <c r="C304">
        <v>30</v>
      </c>
      <c r="D304" t="s">
        <v>22</v>
      </c>
      <c r="E304" t="s">
        <v>13</v>
      </c>
      <c r="F304">
        <v>1450.5</v>
      </c>
      <c r="G304">
        <v>19</v>
      </c>
      <c r="H304">
        <v>4.5999999999999996</v>
      </c>
      <c r="I304" t="b">
        <v>0</v>
      </c>
      <c r="J304">
        <v>13</v>
      </c>
      <c r="K304" t="s">
        <v>14</v>
      </c>
      <c r="L304" t="str" cm="1">
        <f t="array" ref="L304">_xlfn.IFS(
J304&lt;=15,"Active",
J304&lt;=30,"Warm",
J304&gt;30,"Inactive"
)</f>
        <v>Active</v>
      </c>
      <c r="M304" t="str">
        <f t="shared" si="4"/>
        <v>High Value</v>
      </c>
      <c r="N304" t="str" cm="1">
        <f t="array" ref="N304">_xlfn.IFS(
C304&lt;=28,"25-28",
C304&lt;=32,"29-32",
C304&lt;=36,"33-36",
C304&lt;=40,"37-40",
C304&lt;=45,"41-45"
)</f>
        <v>29-32</v>
      </c>
    </row>
    <row r="305" spans="1:14" x14ac:dyDescent="0.3">
      <c r="A305">
        <v>404</v>
      </c>
      <c r="B305" t="s">
        <v>15</v>
      </c>
      <c r="C305">
        <v>27</v>
      </c>
      <c r="D305" t="s">
        <v>23</v>
      </c>
      <c r="E305" t="s">
        <v>17</v>
      </c>
      <c r="F305">
        <v>710.4</v>
      </c>
      <c r="G305">
        <v>13</v>
      </c>
      <c r="H305">
        <v>4.0999999999999996</v>
      </c>
      <c r="I305" t="b">
        <v>1</v>
      </c>
      <c r="J305">
        <v>60</v>
      </c>
      <c r="K305" t="s">
        <v>21</v>
      </c>
      <c r="L305" t="str" cm="1">
        <f t="array" ref="L305">_xlfn.IFS(
J305&lt;=15,"Active",
J305&lt;=30,"Warm",
J305&gt;30,"Inactive"
)</f>
        <v>Inactive</v>
      </c>
      <c r="M305" t="str">
        <f t="shared" si="4"/>
        <v>Medium Value</v>
      </c>
      <c r="N305" t="str" cm="1">
        <f t="array" ref="N305">_xlfn.IFS(
C305&lt;=28,"25-28",
C305&lt;=32,"29-32",
C305&lt;=36,"33-36",
C305&lt;=40,"37-40",
C305&lt;=45,"41-45"
)</f>
        <v>25-28</v>
      </c>
    </row>
    <row r="306" spans="1:14" x14ac:dyDescent="0.3">
      <c r="A306">
        <v>405</v>
      </c>
      <c r="B306" t="s">
        <v>11</v>
      </c>
      <c r="C306">
        <v>37</v>
      </c>
      <c r="D306" t="s">
        <v>24</v>
      </c>
      <c r="E306" t="s">
        <v>20</v>
      </c>
      <c r="F306">
        <v>430.8</v>
      </c>
      <c r="G306">
        <v>7</v>
      </c>
      <c r="H306">
        <v>3.4</v>
      </c>
      <c r="I306" t="b">
        <v>0</v>
      </c>
      <c r="J306">
        <v>29</v>
      </c>
      <c r="K306" t="s">
        <v>18</v>
      </c>
      <c r="L306" t="str" cm="1">
        <f t="array" ref="L306">_xlfn.IFS(
J306&lt;=15,"Active",
J306&lt;=30,"Warm",
J306&gt;30,"Inactive"
)</f>
        <v>Warm</v>
      </c>
      <c r="M306" t="str">
        <f t="shared" si="4"/>
        <v>Low Value</v>
      </c>
      <c r="N306" t="str" cm="1">
        <f t="array" ref="N306">_xlfn.IFS(
C306&lt;=28,"25-28",
C306&lt;=32,"29-32",
C306&lt;=36,"33-36",
C306&lt;=40,"37-40",
C306&lt;=45,"41-45"
)</f>
        <v>37-40</v>
      </c>
    </row>
    <row r="307" spans="1:14" x14ac:dyDescent="0.3">
      <c r="A307">
        <v>406</v>
      </c>
      <c r="B307" t="s">
        <v>11</v>
      </c>
      <c r="C307">
        <v>31</v>
      </c>
      <c r="D307" t="s">
        <v>12</v>
      </c>
      <c r="E307" t="s">
        <v>13</v>
      </c>
      <c r="F307">
        <v>1160.5999999999999</v>
      </c>
      <c r="G307">
        <v>15</v>
      </c>
      <c r="H307">
        <v>4.5</v>
      </c>
      <c r="I307" t="b">
        <v>1</v>
      </c>
      <c r="J307">
        <v>33</v>
      </c>
      <c r="K307" t="s">
        <v>14</v>
      </c>
      <c r="L307" t="str" cm="1">
        <f t="array" ref="L307">_xlfn.IFS(
J307&lt;=15,"Active",
J307&lt;=30,"Warm",
J307&gt;30,"Inactive"
)</f>
        <v>Inactive</v>
      </c>
      <c r="M307" t="str">
        <f t="shared" si="4"/>
        <v>High Value</v>
      </c>
      <c r="N307" t="str" cm="1">
        <f t="array" ref="N307">_xlfn.IFS(
C307&lt;=28,"25-28",
C307&lt;=32,"29-32",
C307&lt;=36,"33-36",
C307&lt;=40,"37-40",
C307&lt;=45,"41-45"
)</f>
        <v>29-32</v>
      </c>
    </row>
    <row r="308" spans="1:14" x14ac:dyDescent="0.3">
      <c r="A308">
        <v>407</v>
      </c>
      <c r="B308" t="s">
        <v>15</v>
      </c>
      <c r="C308">
        <v>35</v>
      </c>
      <c r="D308" t="s">
        <v>16</v>
      </c>
      <c r="E308" t="s">
        <v>17</v>
      </c>
      <c r="F308">
        <v>820.9</v>
      </c>
      <c r="G308">
        <v>12</v>
      </c>
      <c r="H308">
        <v>4.3</v>
      </c>
      <c r="I308" t="b">
        <v>0</v>
      </c>
      <c r="J308">
        <v>16</v>
      </c>
      <c r="K308" t="s">
        <v>18</v>
      </c>
      <c r="L308" t="str" cm="1">
        <f t="array" ref="L308">_xlfn.IFS(
J308&lt;=15,"Active",
J308&lt;=30,"Warm",
J308&gt;30,"Inactive"
)</f>
        <v>Warm</v>
      </c>
      <c r="M308" t="str">
        <f t="shared" si="4"/>
        <v>Medium Value</v>
      </c>
      <c r="N308" t="str" cm="1">
        <f t="array" ref="N308">_xlfn.IFS(
C308&lt;=28,"25-28",
C308&lt;=32,"29-32",
C308&lt;=36,"33-36",
C308&lt;=40,"37-40",
C308&lt;=45,"41-45"
)</f>
        <v>33-36</v>
      </c>
    </row>
    <row r="309" spans="1:14" x14ac:dyDescent="0.3">
      <c r="A309">
        <v>408</v>
      </c>
      <c r="B309" t="s">
        <v>11</v>
      </c>
      <c r="C309">
        <v>41</v>
      </c>
      <c r="D309" t="s">
        <v>19</v>
      </c>
      <c r="E309" t="s">
        <v>20</v>
      </c>
      <c r="F309">
        <v>495.25</v>
      </c>
      <c r="G309">
        <v>9</v>
      </c>
      <c r="H309">
        <v>3.6</v>
      </c>
      <c r="I309" t="b">
        <v>1</v>
      </c>
      <c r="J309">
        <v>45</v>
      </c>
      <c r="K309" t="s">
        <v>21</v>
      </c>
      <c r="L309" t="str" cm="1">
        <f t="array" ref="L309">_xlfn.IFS(
J309&lt;=15,"Active",
J309&lt;=30,"Warm",
J309&gt;30,"Inactive"
)</f>
        <v>Inactive</v>
      </c>
      <c r="M309" t="str">
        <f t="shared" si="4"/>
        <v>Low Value</v>
      </c>
      <c r="N309" t="str" cm="1">
        <f t="array" ref="N309">_xlfn.IFS(
C309&lt;=28,"25-28",
C309&lt;=32,"29-32",
C309&lt;=36,"33-36",
C309&lt;=40,"37-40",
C309&lt;=45,"41-45"
)</f>
        <v>41-45</v>
      </c>
    </row>
    <row r="310" spans="1:14" x14ac:dyDescent="0.3">
      <c r="A310">
        <v>409</v>
      </c>
      <c r="B310" t="s">
        <v>15</v>
      </c>
      <c r="C310">
        <v>28</v>
      </c>
      <c r="D310" t="s">
        <v>22</v>
      </c>
      <c r="E310" t="s">
        <v>13</v>
      </c>
      <c r="F310">
        <v>1490.1</v>
      </c>
      <c r="G310">
        <v>21</v>
      </c>
      <c r="H310">
        <v>4.9000000000000004</v>
      </c>
      <c r="I310" t="b">
        <v>0</v>
      </c>
      <c r="J310">
        <v>11</v>
      </c>
      <c r="K310" t="s">
        <v>14</v>
      </c>
      <c r="L310" t="str" cm="1">
        <f t="array" ref="L310">_xlfn.IFS(
J310&lt;=15,"Active",
J310&lt;=30,"Warm",
J310&gt;30,"Inactive"
)</f>
        <v>Active</v>
      </c>
      <c r="M310" t="str">
        <f t="shared" si="4"/>
        <v>High Value</v>
      </c>
      <c r="N310" t="str" cm="1">
        <f t="array" ref="N310">_xlfn.IFS(
C310&lt;=28,"25-28",
C310&lt;=32,"29-32",
C310&lt;=36,"33-36",
C310&lt;=40,"37-40",
C310&lt;=45,"41-45"
)</f>
        <v>25-28</v>
      </c>
    </row>
    <row r="311" spans="1:14" x14ac:dyDescent="0.3">
      <c r="A311">
        <v>410</v>
      </c>
      <c r="B311" t="s">
        <v>15</v>
      </c>
      <c r="C311">
        <v>32</v>
      </c>
      <c r="D311" t="s">
        <v>23</v>
      </c>
      <c r="E311" t="s">
        <v>17</v>
      </c>
      <c r="F311">
        <v>660.3</v>
      </c>
      <c r="G311">
        <v>10</v>
      </c>
      <c r="H311">
        <v>3.8</v>
      </c>
      <c r="I311" t="b">
        <v>1</v>
      </c>
      <c r="J311">
        <v>39</v>
      </c>
      <c r="K311" t="s">
        <v>21</v>
      </c>
      <c r="L311" t="str" cm="1">
        <f t="array" ref="L311">_xlfn.IFS(
J311&lt;=15,"Active",
J311&lt;=30,"Warm",
J311&gt;30,"Inactive"
)</f>
        <v>Inactive</v>
      </c>
      <c r="M311" t="str">
        <f t="shared" si="4"/>
        <v>Medium Value</v>
      </c>
      <c r="N311" t="str" cm="1">
        <f t="array" ref="N311">_xlfn.IFS(
C311&lt;=28,"25-28",
C311&lt;=32,"29-32",
C311&lt;=36,"33-36",
C311&lt;=40,"37-40",
C311&lt;=45,"41-45"
)</f>
        <v>29-32</v>
      </c>
    </row>
    <row r="312" spans="1:14" x14ac:dyDescent="0.3">
      <c r="A312">
        <v>411</v>
      </c>
      <c r="B312" t="s">
        <v>11</v>
      </c>
      <c r="C312">
        <v>36</v>
      </c>
      <c r="D312" t="s">
        <v>24</v>
      </c>
      <c r="E312" t="s">
        <v>20</v>
      </c>
      <c r="F312">
        <v>440.5</v>
      </c>
      <c r="G312">
        <v>8</v>
      </c>
      <c r="H312">
        <v>3.1</v>
      </c>
      <c r="I312" t="b">
        <v>0</v>
      </c>
      <c r="J312">
        <v>24</v>
      </c>
      <c r="K312" t="s">
        <v>18</v>
      </c>
      <c r="L312" t="str" cm="1">
        <f t="array" ref="L312">_xlfn.IFS(
J312&lt;=15,"Active",
J312&lt;=30,"Warm",
J312&gt;30,"Inactive"
)</f>
        <v>Warm</v>
      </c>
      <c r="M312" t="str">
        <f t="shared" si="4"/>
        <v>Low Value</v>
      </c>
      <c r="N312" t="str" cm="1">
        <f t="array" ref="N312">_xlfn.IFS(
C312&lt;=28,"25-28",
C312&lt;=32,"29-32",
C312&lt;=36,"33-36",
C312&lt;=40,"37-40",
C312&lt;=45,"41-45"
)</f>
        <v>33-36</v>
      </c>
    </row>
    <row r="313" spans="1:14" x14ac:dyDescent="0.3">
      <c r="A313">
        <v>412</v>
      </c>
      <c r="B313" t="s">
        <v>11</v>
      </c>
      <c r="C313">
        <v>30</v>
      </c>
      <c r="D313" t="s">
        <v>12</v>
      </c>
      <c r="E313" t="s">
        <v>13</v>
      </c>
      <c r="F313">
        <v>1200.8</v>
      </c>
      <c r="G313">
        <v>16</v>
      </c>
      <c r="H313">
        <v>4.7</v>
      </c>
      <c r="I313" t="b">
        <v>1</v>
      </c>
      <c r="J313">
        <v>25</v>
      </c>
      <c r="K313" t="s">
        <v>14</v>
      </c>
      <c r="L313" t="str" cm="1">
        <f t="array" ref="L313">_xlfn.IFS(
J313&lt;=15,"Active",
J313&lt;=30,"Warm",
J313&gt;30,"Inactive"
)</f>
        <v>Warm</v>
      </c>
      <c r="M313" t="str">
        <f t="shared" si="4"/>
        <v>High Value</v>
      </c>
      <c r="N313" t="str" cm="1">
        <f t="array" ref="N313">_xlfn.IFS(
C313&lt;=28,"25-28",
C313&lt;=32,"29-32",
C313&lt;=36,"33-36",
C313&lt;=40,"37-40",
C313&lt;=45,"41-45"
)</f>
        <v>29-32</v>
      </c>
    </row>
    <row r="314" spans="1:14" x14ac:dyDescent="0.3">
      <c r="A314">
        <v>413</v>
      </c>
      <c r="B314" t="s">
        <v>15</v>
      </c>
      <c r="C314">
        <v>34</v>
      </c>
      <c r="D314" t="s">
        <v>16</v>
      </c>
      <c r="E314" t="s">
        <v>17</v>
      </c>
      <c r="F314">
        <v>780.2</v>
      </c>
      <c r="G314">
        <v>11</v>
      </c>
      <c r="H314">
        <v>4.0999999999999996</v>
      </c>
      <c r="I314" t="b">
        <v>0</v>
      </c>
      <c r="J314">
        <v>17</v>
      </c>
      <c r="K314" t="s">
        <v>18</v>
      </c>
      <c r="L314" t="str" cm="1">
        <f t="array" ref="L314">_xlfn.IFS(
J314&lt;=15,"Active",
J314&lt;=30,"Warm",
J314&gt;30,"Inactive"
)</f>
        <v>Warm</v>
      </c>
      <c r="M314" t="str">
        <f t="shared" si="4"/>
        <v>Medium Value</v>
      </c>
      <c r="N314" t="str" cm="1">
        <f t="array" ref="N314">_xlfn.IFS(
C314&lt;=28,"25-28",
C314&lt;=32,"29-32",
C314&lt;=36,"33-36",
C314&lt;=40,"37-40",
C314&lt;=45,"41-45"
)</f>
        <v>33-36</v>
      </c>
    </row>
    <row r="315" spans="1:14" x14ac:dyDescent="0.3">
      <c r="A315">
        <v>414</v>
      </c>
      <c r="B315" t="s">
        <v>11</v>
      </c>
      <c r="C315">
        <v>43</v>
      </c>
      <c r="D315" t="s">
        <v>19</v>
      </c>
      <c r="E315" t="s">
        <v>20</v>
      </c>
      <c r="F315">
        <v>505.75</v>
      </c>
      <c r="G315">
        <v>10</v>
      </c>
      <c r="H315">
        <v>3.3</v>
      </c>
      <c r="I315" t="b">
        <v>1</v>
      </c>
      <c r="J315">
        <v>46</v>
      </c>
      <c r="K315" t="s">
        <v>21</v>
      </c>
      <c r="L315" t="str" cm="1">
        <f t="array" ref="L315">_xlfn.IFS(
J315&lt;=15,"Active",
J315&lt;=30,"Warm",
J315&gt;30,"Inactive"
)</f>
        <v>Inactive</v>
      </c>
      <c r="M315" t="str">
        <f t="shared" si="4"/>
        <v>Medium Value</v>
      </c>
      <c r="N315" t="str" cm="1">
        <f t="array" ref="N315">_xlfn.IFS(
C315&lt;=28,"25-28",
C315&lt;=32,"29-32",
C315&lt;=36,"33-36",
C315&lt;=40,"37-40",
C315&lt;=45,"41-45"
)</f>
        <v>41-45</v>
      </c>
    </row>
    <row r="316" spans="1:14" x14ac:dyDescent="0.3">
      <c r="A316">
        <v>415</v>
      </c>
      <c r="B316" t="s">
        <v>15</v>
      </c>
      <c r="C316">
        <v>30</v>
      </c>
      <c r="D316" t="s">
        <v>22</v>
      </c>
      <c r="E316" t="s">
        <v>13</v>
      </c>
      <c r="F316">
        <v>1460.5</v>
      </c>
      <c r="G316">
        <v>20</v>
      </c>
      <c r="H316">
        <v>4.8</v>
      </c>
      <c r="I316" t="b">
        <v>0</v>
      </c>
      <c r="J316">
        <v>14</v>
      </c>
      <c r="K316" t="s">
        <v>14</v>
      </c>
      <c r="L316" t="str" cm="1">
        <f t="array" ref="L316">_xlfn.IFS(
J316&lt;=15,"Active",
J316&lt;=30,"Warm",
J316&gt;30,"Inactive"
)</f>
        <v>Active</v>
      </c>
      <c r="M316" t="str">
        <f t="shared" si="4"/>
        <v>High Value</v>
      </c>
      <c r="N316" t="str" cm="1">
        <f t="array" ref="N316">_xlfn.IFS(
C316&lt;=28,"25-28",
C316&lt;=32,"29-32",
C316&lt;=36,"33-36",
C316&lt;=40,"37-40",
C316&lt;=45,"41-45"
)</f>
        <v>29-32</v>
      </c>
    </row>
    <row r="317" spans="1:14" x14ac:dyDescent="0.3">
      <c r="A317">
        <v>416</v>
      </c>
      <c r="B317" t="s">
        <v>15</v>
      </c>
      <c r="C317">
        <v>27</v>
      </c>
      <c r="D317" t="s">
        <v>23</v>
      </c>
      <c r="E317" t="s">
        <v>17</v>
      </c>
      <c r="F317">
        <v>710.4</v>
      </c>
      <c r="G317">
        <v>13</v>
      </c>
      <c r="H317">
        <v>4.0999999999999996</v>
      </c>
      <c r="I317" t="b">
        <v>1</v>
      </c>
      <c r="J317">
        <v>61</v>
      </c>
      <c r="K317" t="s">
        <v>21</v>
      </c>
      <c r="L317" t="str" cm="1">
        <f t="array" ref="L317">_xlfn.IFS(
J317&lt;=15,"Active",
J317&lt;=30,"Warm",
J317&gt;30,"Inactive"
)</f>
        <v>Inactive</v>
      </c>
      <c r="M317" t="str">
        <f t="shared" si="4"/>
        <v>Medium Value</v>
      </c>
      <c r="N317" t="str" cm="1">
        <f t="array" ref="N317">_xlfn.IFS(
C317&lt;=28,"25-28",
C317&lt;=32,"29-32",
C317&lt;=36,"33-36",
C317&lt;=40,"37-40",
C317&lt;=45,"41-45"
)</f>
        <v>25-28</v>
      </c>
    </row>
    <row r="318" spans="1:14" x14ac:dyDescent="0.3">
      <c r="A318">
        <v>417</v>
      </c>
      <c r="B318" t="s">
        <v>11</v>
      </c>
      <c r="C318">
        <v>37</v>
      </c>
      <c r="D318" t="s">
        <v>24</v>
      </c>
      <c r="E318" t="s">
        <v>20</v>
      </c>
      <c r="F318">
        <v>450.8</v>
      </c>
      <c r="G318">
        <v>7</v>
      </c>
      <c r="H318">
        <v>3.4</v>
      </c>
      <c r="I318" t="b">
        <v>0</v>
      </c>
      <c r="J318">
        <v>30</v>
      </c>
      <c r="K318" t="s">
        <v>18</v>
      </c>
      <c r="L318" t="str" cm="1">
        <f t="array" ref="L318">_xlfn.IFS(
J318&lt;=15,"Active",
J318&lt;=30,"Warm",
J318&gt;30,"Inactive"
)</f>
        <v>Warm</v>
      </c>
      <c r="M318" t="str">
        <f t="shared" si="4"/>
        <v>Low Value</v>
      </c>
      <c r="N318" t="str" cm="1">
        <f t="array" ref="N318">_xlfn.IFS(
C318&lt;=28,"25-28",
C318&lt;=32,"29-32",
C318&lt;=36,"33-36",
C318&lt;=40,"37-40",
C318&lt;=45,"41-45"
)</f>
        <v>37-40</v>
      </c>
    </row>
    <row r="319" spans="1:14" x14ac:dyDescent="0.3">
      <c r="A319">
        <v>418</v>
      </c>
      <c r="B319" t="s">
        <v>11</v>
      </c>
      <c r="C319">
        <v>31</v>
      </c>
      <c r="D319" t="s">
        <v>12</v>
      </c>
      <c r="E319" t="s">
        <v>13</v>
      </c>
      <c r="F319">
        <v>1140.5999999999999</v>
      </c>
      <c r="G319">
        <v>15</v>
      </c>
      <c r="H319">
        <v>4.5</v>
      </c>
      <c r="I319" t="b">
        <v>1</v>
      </c>
      <c r="J319">
        <v>34</v>
      </c>
      <c r="K319" t="s">
        <v>14</v>
      </c>
      <c r="L319" t="str" cm="1">
        <f t="array" ref="L319">_xlfn.IFS(
J319&lt;=15,"Active",
J319&lt;=30,"Warm",
J319&gt;30,"Inactive"
)</f>
        <v>Inactive</v>
      </c>
      <c r="M319" t="str">
        <f t="shared" si="4"/>
        <v>High Value</v>
      </c>
      <c r="N319" t="str" cm="1">
        <f t="array" ref="N319">_xlfn.IFS(
C319&lt;=28,"25-28",
C319&lt;=32,"29-32",
C319&lt;=36,"33-36",
C319&lt;=40,"37-40",
C319&lt;=45,"41-45"
)</f>
        <v>29-32</v>
      </c>
    </row>
    <row r="320" spans="1:14" x14ac:dyDescent="0.3">
      <c r="A320">
        <v>419</v>
      </c>
      <c r="B320" t="s">
        <v>15</v>
      </c>
      <c r="C320">
        <v>35</v>
      </c>
      <c r="D320" t="s">
        <v>16</v>
      </c>
      <c r="E320" t="s">
        <v>17</v>
      </c>
      <c r="F320">
        <v>800.9</v>
      </c>
      <c r="G320">
        <v>12</v>
      </c>
      <c r="H320">
        <v>4.0999999999999996</v>
      </c>
      <c r="I320" t="b">
        <v>0</v>
      </c>
      <c r="J320">
        <v>19</v>
      </c>
      <c r="K320" t="s">
        <v>18</v>
      </c>
      <c r="L320" t="str" cm="1">
        <f t="array" ref="L320">_xlfn.IFS(
J320&lt;=15,"Active",
J320&lt;=30,"Warm",
J320&gt;30,"Inactive"
)</f>
        <v>Warm</v>
      </c>
      <c r="M320" t="str">
        <f t="shared" si="4"/>
        <v>Medium Value</v>
      </c>
      <c r="N320" t="str" cm="1">
        <f t="array" ref="N320">_xlfn.IFS(
C320&lt;=28,"25-28",
C320&lt;=32,"29-32",
C320&lt;=36,"33-36",
C320&lt;=40,"37-40",
C320&lt;=45,"41-45"
)</f>
        <v>33-36</v>
      </c>
    </row>
    <row r="321" spans="1:14" x14ac:dyDescent="0.3">
      <c r="A321">
        <v>420</v>
      </c>
      <c r="B321" t="s">
        <v>11</v>
      </c>
      <c r="C321">
        <v>41</v>
      </c>
      <c r="D321" t="s">
        <v>19</v>
      </c>
      <c r="E321" t="s">
        <v>20</v>
      </c>
      <c r="F321">
        <v>475.25</v>
      </c>
      <c r="G321">
        <v>9</v>
      </c>
      <c r="H321">
        <v>3.6</v>
      </c>
      <c r="I321" t="b">
        <v>1</v>
      </c>
      <c r="J321">
        <v>46</v>
      </c>
      <c r="K321" t="s">
        <v>21</v>
      </c>
      <c r="L321" t="str" cm="1">
        <f t="array" ref="L321">_xlfn.IFS(
J321&lt;=15,"Active",
J321&lt;=30,"Warm",
J321&gt;30,"Inactive"
)</f>
        <v>Inactive</v>
      </c>
      <c r="M321" t="str">
        <f t="shared" si="4"/>
        <v>Low Value</v>
      </c>
      <c r="N321" t="str" cm="1">
        <f t="array" ref="N321">_xlfn.IFS(
C321&lt;=28,"25-28",
C321&lt;=32,"29-32",
C321&lt;=36,"33-36",
C321&lt;=40,"37-40",
C321&lt;=45,"41-45"
)</f>
        <v>41-45</v>
      </c>
    </row>
    <row r="322" spans="1:14" x14ac:dyDescent="0.3">
      <c r="A322">
        <v>421</v>
      </c>
      <c r="B322" t="s">
        <v>15</v>
      </c>
      <c r="C322">
        <v>28</v>
      </c>
      <c r="D322" t="s">
        <v>22</v>
      </c>
      <c r="E322" t="s">
        <v>13</v>
      </c>
      <c r="F322">
        <v>1480.1</v>
      </c>
      <c r="G322">
        <v>21</v>
      </c>
      <c r="H322">
        <v>4.9000000000000004</v>
      </c>
      <c r="I322" t="b">
        <v>0</v>
      </c>
      <c r="J322">
        <v>12</v>
      </c>
      <c r="K322" t="s">
        <v>14</v>
      </c>
      <c r="L322" t="str" cm="1">
        <f t="array" ref="L322">_xlfn.IFS(
J322&lt;=15,"Active",
J322&lt;=30,"Warm",
J322&gt;30,"Inactive"
)</f>
        <v>Active</v>
      </c>
      <c r="M322" t="str">
        <f t="shared" ref="M322:M351" si="5">IF(F322&gt;1000,"High Value",
IF(F322&gt;500,"Medium Value","Low Value"))</f>
        <v>High Value</v>
      </c>
      <c r="N322" t="str" cm="1">
        <f t="array" ref="N322">_xlfn.IFS(
C322&lt;=28,"25-28",
C322&lt;=32,"29-32",
C322&lt;=36,"33-36",
C322&lt;=40,"37-40",
C322&lt;=45,"41-45"
)</f>
        <v>25-28</v>
      </c>
    </row>
    <row r="323" spans="1:14" x14ac:dyDescent="0.3">
      <c r="A323">
        <v>422</v>
      </c>
      <c r="B323" t="s">
        <v>15</v>
      </c>
      <c r="C323">
        <v>32</v>
      </c>
      <c r="D323" t="s">
        <v>23</v>
      </c>
      <c r="E323" t="s">
        <v>17</v>
      </c>
      <c r="F323">
        <v>660.3</v>
      </c>
      <c r="G323">
        <v>10</v>
      </c>
      <c r="H323">
        <v>3.8</v>
      </c>
      <c r="I323" t="b">
        <v>1</v>
      </c>
      <c r="J323">
        <v>40</v>
      </c>
      <c r="K323" t="s">
        <v>21</v>
      </c>
      <c r="L323" t="str" cm="1">
        <f t="array" ref="L323">_xlfn.IFS(
J323&lt;=15,"Active",
J323&lt;=30,"Warm",
J323&gt;30,"Inactive"
)</f>
        <v>Inactive</v>
      </c>
      <c r="M323" t="str">
        <f t="shared" si="5"/>
        <v>Medium Value</v>
      </c>
      <c r="N323" t="str" cm="1">
        <f t="array" ref="N323">_xlfn.IFS(
C323&lt;=28,"25-28",
C323&lt;=32,"29-32",
C323&lt;=36,"33-36",
C323&lt;=40,"37-40",
C323&lt;=45,"41-45"
)</f>
        <v>29-32</v>
      </c>
    </row>
    <row r="324" spans="1:14" x14ac:dyDescent="0.3">
      <c r="A324">
        <v>423</v>
      </c>
      <c r="B324" t="s">
        <v>11</v>
      </c>
      <c r="C324">
        <v>36</v>
      </c>
      <c r="D324" t="s">
        <v>24</v>
      </c>
      <c r="E324" t="s">
        <v>20</v>
      </c>
      <c r="F324">
        <v>470.5</v>
      </c>
      <c r="G324">
        <v>8</v>
      </c>
      <c r="H324">
        <v>3</v>
      </c>
      <c r="I324" t="b">
        <v>0</v>
      </c>
      <c r="J324">
        <v>26</v>
      </c>
      <c r="K324" t="s">
        <v>18</v>
      </c>
      <c r="L324" t="str" cm="1">
        <f t="array" ref="L324">_xlfn.IFS(
J324&lt;=15,"Active",
J324&lt;=30,"Warm",
J324&gt;30,"Inactive"
)</f>
        <v>Warm</v>
      </c>
      <c r="M324" t="str">
        <f t="shared" si="5"/>
        <v>Low Value</v>
      </c>
      <c r="N324" t="str" cm="1">
        <f t="array" ref="N324">_xlfn.IFS(
C324&lt;=28,"25-28",
C324&lt;=32,"29-32",
C324&lt;=36,"33-36",
C324&lt;=40,"37-40",
C324&lt;=45,"41-45"
)</f>
        <v>33-36</v>
      </c>
    </row>
    <row r="325" spans="1:14" x14ac:dyDescent="0.3">
      <c r="A325">
        <v>424</v>
      </c>
      <c r="B325" t="s">
        <v>11</v>
      </c>
      <c r="C325">
        <v>30</v>
      </c>
      <c r="D325" t="s">
        <v>12</v>
      </c>
      <c r="E325" t="s">
        <v>13</v>
      </c>
      <c r="F325">
        <v>1190.8</v>
      </c>
      <c r="G325">
        <v>16</v>
      </c>
      <c r="H325">
        <v>4.5</v>
      </c>
      <c r="I325" t="b">
        <v>1</v>
      </c>
      <c r="J325">
        <v>27</v>
      </c>
      <c r="K325" t="s">
        <v>14</v>
      </c>
      <c r="L325" t="str" cm="1">
        <f t="array" ref="L325">_xlfn.IFS(
J325&lt;=15,"Active",
J325&lt;=30,"Warm",
J325&gt;30,"Inactive"
)</f>
        <v>Warm</v>
      </c>
      <c r="M325" t="str">
        <f t="shared" si="5"/>
        <v>High Value</v>
      </c>
      <c r="N325" t="str" cm="1">
        <f t="array" ref="N325">_xlfn.IFS(
C325&lt;=28,"25-28",
C325&lt;=32,"29-32",
C325&lt;=36,"33-36",
C325&lt;=40,"37-40",
C325&lt;=45,"41-45"
)</f>
        <v>29-32</v>
      </c>
    </row>
    <row r="326" spans="1:14" x14ac:dyDescent="0.3">
      <c r="A326">
        <v>425</v>
      </c>
      <c r="B326" t="s">
        <v>15</v>
      </c>
      <c r="C326">
        <v>34</v>
      </c>
      <c r="D326" t="s">
        <v>16</v>
      </c>
      <c r="E326" t="s">
        <v>17</v>
      </c>
      <c r="F326">
        <v>780.2</v>
      </c>
      <c r="G326">
        <v>11</v>
      </c>
      <c r="H326">
        <v>4.2</v>
      </c>
      <c r="I326" t="b">
        <v>0</v>
      </c>
      <c r="J326">
        <v>18</v>
      </c>
      <c r="K326" t="s">
        <v>18</v>
      </c>
      <c r="L326" t="str" cm="1">
        <f t="array" ref="L326">_xlfn.IFS(
J326&lt;=15,"Active",
J326&lt;=30,"Warm",
J326&gt;30,"Inactive"
)</f>
        <v>Warm</v>
      </c>
      <c r="M326" t="str">
        <f t="shared" si="5"/>
        <v>Medium Value</v>
      </c>
      <c r="N326" t="str" cm="1">
        <f t="array" ref="N326">_xlfn.IFS(
C326&lt;=28,"25-28",
C326&lt;=32,"29-32",
C326&lt;=36,"33-36",
C326&lt;=40,"37-40",
C326&lt;=45,"41-45"
)</f>
        <v>33-36</v>
      </c>
    </row>
    <row r="327" spans="1:14" x14ac:dyDescent="0.3">
      <c r="A327">
        <v>426</v>
      </c>
      <c r="B327" t="s">
        <v>11</v>
      </c>
      <c r="C327">
        <v>43</v>
      </c>
      <c r="D327" t="s">
        <v>19</v>
      </c>
      <c r="E327" t="s">
        <v>20</v>
      </c>
      <c r="F327">
        <v>515.75</v>
      </c>
      <c r="G327">
        <v>10</v>
      </c>
      <c r="H327">
        <v>3.3</v>
      </c>
      <c r="I327" t="b">
        <v>1</v>
      </c>
      <c r="J327">
        <v>47</v>
      </c>
      <c r="K327" t="s">
        <v>21</v>
      </c>
      <c r="L327" t="str" cm="1">
        <f t="array" ref="L327">_xlfn.IFS(
J327&lt;=15,"Active",
J327&lt;=30,"Warm",
J327&gt;30,"Inactive"
)</f>
        <v>Inactive</v>
      </c>
      <c r="M327" t="str">
        <f t="shared" si="5"/>
        <v>Medium Value</v>
      </c>
      <c r="N327" t="str" cm="1">
        <f t="array" ref="N327">_xlfn.IFS(
C327&lt;=28,"25-28",
C327&lt;=32,"29-32",
C327&lt;=36,"33-36",
C327&lt;=40,"37-40",
C327&lt;=45,"41-45"
)</f>
        <v>41-45</v>
      </c>
    </row>
    <row r="328" spans="1:14" x14ac:dyDescent="0.3">
      <c r="A328">
        <v>427</v>
      </c>
      <c r="B328" t="s">
        <v>15</v>
      </c>
      <c r="C328">
        <v>30</v>
      </c>
      <c r="D328" t="s">
        <v>22</v>
      </c>
      <c r="E328" t="s">
        <v>13</v>
      </c>
      <c r="F328">
        <v>1450.5</v>
      </c>
      <c r="G328">
        <v>19</v>
      </c>
      <c r="H328">
        <v>4.5999999999999996</v>
      </c>
      <c r="I328" t="b">
        <v>0</v>
      </c>
      <c r="J328">
        <v>14</v>
      </c>
      <c r="K328" t="s">
        <v>14</v>
      </c>
      <c r="L328" t="str" cm="1">
        <f t="array" ref="L328">_xlfn.IFS(
J328&lt;=15,"Active",
J328&lt;=30,"Warm",
J328&gt;30,"Inactive"
)</f>
        <v>Active</v>
      </c>
      <c r="M328" t="str">
        <f t="shared" si="5"/>
        <v>High Value</v>
      </c>
      <c r="N328" t="str" cm="1">
        <f t="array" ref="N328">_xlfn.IFS(
C328&lt;=28,"25-28",
C328&lt;=32,"29-32",
C328&lt;=36,"33-36",
C328&lt;=40,"37-40",
C328&lt;=45,"41-45"
)</f>
        <v>29-32</v>
      </c>
    </row>
    <row r="329" spans="1:14" x14ac:dyDescent="0.3">
      <c r="A329">
        <v>428</v>
      </c>
      <c r="B329" t="s">
        <v>15</v>
      </c>
      <c r="C329">
        <v>27</v>
      </c>
      <c r="D329" t="s">
        <v>23</v>
      </c>
      <c r="E329" t="s">
        <v>17</v>
      </c>
      <c r="F329">
        <v>710.4</v>
      </c>
      <c r="G329">
        <v>13</v>
      </c>
      <c r="H329">
        <v>4.0999999999999996</v>
      </c>
      <c r="I329" t="b">
        <v>1</v>
      </c>
      <c r="J329">
        <v>62</v>
      </c>
      <c r="K329" t="s">
        <v>21</v>
      </c>
      <c r="L329" t="str" cm="1">
        <f t="array" ref="L329">_xlfn.IFS(
J329&lt;=15,"Active",
J329&lt;=30,"Warm",
J329&gt;30,"Inactive"
)</f>
        <v>Inactive</v>
      </c>
      <c r="M329" t="str">
        <f t="shared" si="5"/>
        <v>Medium Value</v>
      </c>
      <c r="N329" t="str" cm="1">
        <f t="array" ref="N329">_xlfn.IFS(
C329&lt;=28,"25-28",
C329&lt;=32,"29-32",
C329&lt;=36,"33-36",
C329&lt;=40,"37-40",
C329&lt;=45,"41-45"
)</f>
        <v>25-28</v>
      </c>
    </row>
    <row r="330" spans="1:14" x14ac:dyDescent="0.3">
      <c r="A330">
        <v>429</v>
      </c>
      <c r="B330" t="s">
        <v>11</v>
      </c>
      <c r="C330">
        <v>37</v>
      </c>
      <c r="D330" t="s">
        <v>24</v>
      </c>
      <c r="E330" t="s">
        <v>20</v>
      </c>
      <c r="F330">
        <v>430.8</v>
      </c>
      <c r="G330">
        <v>7</v>
      </c>
      <c r="H330">
        <v>3.4</v>
      </c>
      <c r="I330" t="b">
        <v>0</v>
      </c>
      <c r="J330">
        <v>31</v>
      </c>
      <c r="K330" t="s">
        <v>18</v>
      </c>
      <c r="L330" t="str" cm="1">
        <f t="array" ref="L330">_xlfn.IFS(
J330&lt;=15,"Active",
J330&lt;=30,"Warm",
J330&gt;30,"Inactive"
)</f>
        <v>Inactive</v>
      </c>
      <c r="M330" t="str">
        <f t="shared" si="5"/>
        <v>Low Value</v>
      </c>
      <c r="N330" t="str" cm="1">
        <f t="array" ref="N330">_xlfn.IFS(
C330&lt;=28,"25-28",
C330&lt;=32,"29-32",
C330&lt;=36,"33-36",
C330&lt;=40,"37-40",
C330&lt;=45,"41-45"
)</f>
        <v>37-40</v>
      </c>
    </row>
    <row r="331" spans="1:14" x14ac:dyDescent="0.3">
      <c r="A331">
        <v>430</v>
      </c>
      <c r="B331" t="s">
        <v>11</v>
      </c>
      <c r="C331">
        <v>31</v>
      </c>
      <c r="D331" t="s">
        <v>12</v>
      </c>
      <c r="E331" t="s">
        <v>13</v>
      </c>
      <c r="F331">
        <v>1160.5999999999999</v>
      </c>
      <c r="G331">
        <v>15</v>
      </c>
      <c r="H331">
        <v>4.5</v>
      </c>
      <c r="I331" t="b">
        <v>1</v>
      </c>
      <c r="J331">
        <v>35</v>
      </c>
      <c r="K331" t="s">
        <v>14</v>
      </c>
      <c r="L331" t="str" cm="1">
        <f t="array" ref="L331">_xlfn.IFS(
J331&lt;=15,"Active",
J331&lt;=30,"Warm",
J331&gt;30,"Inactive"
)</f>
        <v>Inactive</v>
      </c>
      <c r="M331" t="str">
        <f t="shared" si="5"/>
        <v>High Value</v>
      </c>
      <c r="N331" t="str" cm="1">
        <f t="array" ref="N331">_xlfn.IFS(
C331&lt;=28,"25-28",
C331&lt;=32,"29-32",
C331&lt;=36,"33-36",
C331&lt;=40,"37-40",
C331&lt;=45,"41-45"
)</f>
        <v>29-32</v>
      </c>
    </row>
    <row r="332" spans="1:14" x14ac:dyDescent="0.3">
      <c r="A332">
        <v>431</v>
      </c>
      <c r="B332" t="s">
        <v>15</v>
      </c>
      <c r="C332">
        <v>35</v>
      </c>
      <c r="D332" t="s">
        <v>16</v>
      </c>
      <c r="E332" t="s">
        <v>17</v>
      </c>
      <c r="F332">
        <v>820.9</v>
      </c>
      <c r="G332">
        <v>12</v>
      </c>
      <c r="H332">
        <v>4.3</v>
      </c>
      <c r="I332" t="b">
        <v>0</v>
      </c>
      <c r="J332">
        <v>20</v>
      </c>
      <c r="K332" t="s">
        <v>18</v>
      </c>
      <c r="L332" t="str" cm="1">
        <f t="array" ref="L332">_xlfn.IFS(
J332&lt;=15,"Active",
J332&lt;=30,"Warm",
J332&gt;30,"Inactive"
)</f>
        <v>Warm</v>
      </c>
      <c r="M332" t="str">
        <f t="shared" si="5"/>
        <v>Medium Value</v>
      </c>
      <c r="N332" t="str" cm="1">
        <f t="array" ref="N332">_xlfn.IFS(
C332&lt;=28,"25-28",
C332&lt;=32,"29-32",
C332&lt;=36,"33-36",
C332&lt;=40,"37-40",
C332&lt;=45,"41-45"
)</f>
        <v>33-36</v>
      </c>
    </row>
    <row r="333" spans="1:14" x14ac:dyDescent="0.3">
      <c r="A333">
        <v>432</v>
      </c>
      <c r="B333" t="s">
        <v>11</v>
      </c>
      <c r="C333">
        <v>41</v>
      </c>
      <c r="D333" t="s">
        <v>19</v>
      </c>
      <c r="E333" t="s">
        <v>20</v>
      </c>
      <c r="F333">
        <v>495.25</v>
      </c>
      <c r="G333">
        <v>9</v>
      </c>
      <c r="H333">
        <v>3.6</v>
      </c>
      <c r="I333" t="b">
        <v>1</v>
      </c>
      <c r="J333">
        <v>47</v>
      </c>
      <c r="K333" t="s">
        <v>21</v>
      </c>
      <c r="L333" t="str" cm="1">
        <f t="array" ref="L333">_xlfn.IFS(
J333&lt;=15,"Active",
J333&lt;=30,"Warm",
J333&gt;30,"Inactive"
)</f>
        <v>Inactive</v>
      </c>
      <c r="M333" t="str">
        <f t="shared" si="5"/>
        <v>Low Value</v>
      </c>
      <c r="N333" t="str" cm="1">
        <f t="array" ref="N333">_xlfn.IFS(
C333&lt;=28,"25-28",
C333&lt;=32,"29-32",
C333&lt;=36,"33-36",
C333&lt;=40,"37-40",
C333&lt;=45,"41-45"
)</f>
        <v>41-45</v>
      </c>
    </row>
    <row r="334" spans="1:14" x14ac:dyDescent="0.3">
      <c r="A334">
        <v>433</v>
      </c>
      <c r="B334" t="s">
        <v>15</v>
      </c>
      <c r="C334">
        <v>28</v>
      </c>
      <c r="D334" t="s">
        <v>22</v>
      </c>
      <c r="E334" t="s">
        <v>13</v>
      </c>
      <c r="F334">
        <v>1490.1</v>
      </c>
      <c r="G334">
        <v>21</v>
      </c>
      <c r="H334">
        <v>4.9000000000000004</v>
      </c>
      <c r="I334" t="b">
        <v>0</v>
      </c>
      <c r="J334">
        <v>11</v>
      </c>
      <c r="K334" t="s">
        <v>14</v>
      </c>
      <c r="L334" t="str" cm="1">
        <f t="array" ref="L334">_xlfn.IFS(
J334&lt;=15,"Active",
J334&lt;=30,"Warm",
J334&gt;30,"Inactive"
)</f>
        <v>Active</v>
      </c>
      <c r="M334" t="str">
        <f t="shared" si="5"/>
        <v>High Value</v>
      </c>
      <c r="N334" t="str" cm="1">
        <f t="array" ref="N334">_xlfn.IFS(
C334&lt;=28,"25-28",
C334&lt;=32,"29-32",
C334&lt;=36,"33-36",
C334&lt;=40,"37-40",
C334&lt;=45,"41-45"
)</f>
        <v>25-28</v>
      </c>
    </row>
    <row r="335" spans="1:14" x14ac:dyDescent="0.3">
      <c r="A335">
        <v>434</v>
      </c>
      <c r="B335" t="s">
        <v>15</v>
      </c>
      <c r="C335">
        <v>32</v>
      </c>
      <c r="D335" t="s">
        <v>23</v>
      </c>
      <c r="E335" t="s">
        <v>17</v>
      </c>
      <c r="F335">
        <v>660.3</v>
      </c>
      <c r="G335">
        <v>10</v>
      </c>
      <c r="H335">
        <v>3.8</v>
      </c>
      <c r="I335" t="b">
        <v>1</v>
      </c>
      <c r="J335">
        <v>41</v>
      </c>
      <c r="K335" t="s">
        <v>21</v>
      </c>
      <c r="L335" t="str" cm="1">
        <f t="array" ref="L335">_xlfn.IFS(
J335&lt;=15,"Active",
J335&lt;=30,"Warm",
J335&gt;30,"Inactive"
)</f>
        <v>Inactive</v>
      </c>
      <c r="M335" t="str">
        <f t="shared" si="5"/>
        <v>Medium Value</v>
      </c>
      <c r="N335" t="str" cm="1">
        <f t="array" ref="N335">_xlfn.IFS(
C335&lt;=28,"25-28",
C335&lt;=32,"29-32",
C335&lt;=36,"33-36",
C335&lt;=40,"37-40",
C335&lt;=45,"41-45"
)</f>
        <v>29-32</v>
      </c>
    </row>
    <row r="336" spans="1:14" x14ac:dyDescent="0.3">
      <c r="A336">
        <v>435</v>
      </c>
      <c r="B336" t="s">
        <v>11</v>
      </c>
      <c r="C336">
        <v>36</v>
      </c>
      <c r="D336" t="s">
        <v>24</v>
      </c>
      <c r="E336" t="s">
        <v>20</v>
      </c>
      <c r="F336">
        <v>440.5</v>
      </c>
      <c r="G336">
        <v>8</v>
      </c>
      <c r="H336">
        <v>3.1</v>
      </c>
      <c r="I336" t="b">
        <v>0</v>
      </c>
      <c r="J336">
        <v>28</v>
      </c>
      <c r="K336" t="s">
        <v>18</v>
      </c>
      <c r="L336" t="str" cm="1">
        <f t="array" ref="L336">_xlfn.IFS(
J336&lt;=15,"Active",
J336&lt;=30,"Warm",
J336&gt;30,"Inactive"
)</f>
        <v>Warm</v>
      </c>
      <c r="M336" t="str">
        <f t="shared" si="5"/>
        <v>Low Value</v>
      </c>
      <c r="N336" t="str" cm="1">
        <f t="array" ref="N336">_xlfn.IFS(
C336&lt;=28,"25-28",
C336&lt;=32,"29-32",
C336&lt;=36,"33-36",
C336&lt;=40,"37-40",
C336&lt;=45,"41-45"
)</f>
        <v>33-36</v>
      </c>
    </row>
    <row r="337" spans="1:14" x14ac:dyDescent="0.3">
      <c r="A337">
        <v>436</v>
      </c>
      <c r="B337" t="s">
        <v>11</v>
      </c>
      <c r="C337">
        <v>30</v>
      </c>
      <c r="D337" t="s">
        <v>12</v>
      </c>
      <c r="E337" t="s">
        <v>13</v>
      </c>
      <c r="F337">
        <v>1200.8</v>
      </c>
      <c r="G337">
        <v>16</v>
      </c>
      <c r="H337">
        <v>4.7</v>
      </c>
      <c r="I337" t="b">
        <v>1</v>
      </c>
      <c r="J337">
        <v>28</v>
      </c>
      <c r="K337" t="s">
        <v>14</v>
      </c>
      <c r="L337" t="str" cm="1">
        <f t="array" ref="L337">_xlfn.IFS(
J337&lt;=15,"Active",
J337&lt;=30,"Warm",
J337&gt;30,"Inactive"
)</f>
        <v>Warm</v>
      </c>
      <c r="M337" t="str">
        <f t="shared" si="5"/>
        <v>High Value</v>
      </c>
      <c r="N337" t="str" cm="1">
        <f t="array" ref="N337">_xlfn.IFS(
C337&lt;=28,"25-28",
C337&lt;=32,"29-32",
C337&lt;=36,"33-36",
C337&lt;=40,"37-40",
C337&lt;=45,"41-45"
)</f>
        <v>29-32</v>
      </c>
    </row>
    <row r="338" spans="1:14" x14ac:dyDescent="0.3">
      <c r="A338">
        <v>437</v>
      </c>
      <c r="B338" t="s">
        <v>15</v>
      </c>
      <c r="C338">
        <v>34</v>
      </c>
      <c r="D338" t="s">
        <v>16</v>
      </c>
      <c r="E338" t="s">
        <v>17</v>
      </c>
      <c r="F338">
        <v>780.2</v>
      </c>
      <c r="G338">
        <v>11</v>
      </c>
      <c r="H338">
        <v>4.0999999999999996</v>
      </c>
      <c r="I338" t="b">
        <v>0</v>
      </c>
      <c r="J338">
        <v>19</v>
      </c>
      <c r="K338" t="s">
        <v>18</v>
      </c>
      <c r="L338" t="str" cm="1">
        <f t="array" ref="L338">_xlfn.IFS(
J338&lt;=15,"Active",
J338&lt;=30,"Warm",
J338&gt;30,"Inactive"
)</f>
        <v>Warm</v>
      </c>
      <c r="M338" t="str">
        <f t="shared" si="5"/>
        <v>Medium Value</v>
      </c>
      <c r="N338" t="str" cm="1">
        <f t="array" ref="N338">_xlfn.IFS(
C338&lt;=28,"25-28",
C338&lt;=32,"29-32",
C338&lt;=36,"33-36",
C338&lt;=40,"37-40",
C338&lt;=45,"41-45"
)</f>
        <v>33-36</v>
      </c>
    </row>
    <row r="339" spans="1:14" x14ac:dyDescent="0.3">
      <c r="A339">
        <v>438</v>
      </c>
      <c r="B339" t="s">
        <v>11</v>
      </c>
      <c r="C339">
        <v>43</v>
      </c>
      <c r="D339" t="s">
        <v>19</v>
      </c>
      <c r="E339" t="s">
        <v>20</v>
      </c>
      <c r="F339">
        <v>505.75</v>
      </c>
      <c r="G339">
        <v>10</v>
      </c>
      <c r="H339">
        <v>3.3</v>
      </c>
      <c r="I339" t="b">
        <v>1</v>
      </c>
      <c r="J339">
        <v>48</v>
      </c>
      <c r="K339" t="s">
        <v>21</v>
      </c>
      <c r="L339" t="str" cm="1">
        <f t="array" ref="L339">_xlfn.IFS(
J339&lt;=15,"Active",
J339&lt;=30,"Warm",
J339&gt;30,"Inactive"
)</f>
        <v>Inactive</v>
      </c>
      <c r="M339" t="str">
        <f t="shared" si="5"/>
        <v>Medium Value</v>
      </c>
      <c r="N339" t="str" cm="1">
        <f t="array" ref="N339">_xlfn.IFS(
C339&lt;=28,"25-28",
C339&lt;=32,"29-32",
C339&lt;=36,"33-36",
C339&lt;=40,"37-40",
C339&lt;=45,"41-45"
)</f>
        <v>41-45</v>
      </c>
    </row>
    <row r="340" spans="1:14" x14ac:dyDescent="0.3">
      <c r="A340">
        <v>439</v>
      </c>
      <c r="B340" t="s">
        <v>15</v>
      </c>
      <c r="C340">
        <v>30</v>
      </c>
      <c r="D340" t="s">
        <v>22</v>
      </c>
      <c r="E340" t="s">
        <v>13</v>
      </c>
      <c r="F340">
        <v>1460.5</v>
      </c>
      <c r="G340">
        <v>20</v>
      </c>
      <c r="H340">
        <v>4.8</v>
      </c>
      <c r="I340" t="b">
        <v>0</v>
      </c>
      <c r="J340">
        <v>15</v>
      </c>
      <c r="K340" t="s">
        <v>14</v>
      </c>
      <c r="L340" t="str" cm="1">
        <f t="array" ref="L340">_xlfn.IFS(
J340&lt;=15,"Active",
J340&lt;=30,"Warm",
J340&gt;30,"Inactive"
)</f>
        <v>Active</v>
      </c>
      <c r="M340" t="str">
        <f t="shared" si="5"/>
        <v>High Value</v>
      </c>
      <c r="N340" t="str" cm="1">
        <f t="array" ref="N340">_xlfn.IFS(
C340&lt;=28,"25-28",
C340&lt;=32,"29-32",
C340&lt;=36,"33-36",
C340&lt;=40,"37-40",
C340&lt;=45,"41-45"
)</f>
        <v>29-32</v>
      </c>
    </row>
    <row r="341" spans="1:14" x14ac:dyDescent="0.3">
      <c r="A341">
        <v>440</v>
      </c>
      <c r="B341" t="s">
        <v>15</v>
      </c>
      <c r="C341">
        <v>27</v>
      </c>
      <c r="D341" t="s">
        <v>23</v>
      </c>
      <c r="E341" t="s">
        <v>17</v>
      </c>
      <c r="F341">
        <v>710.4</v>
      </c>
      <c r="G341">
        <v>13</v>
      </c>
      <c r="H341">
        <v>4.0999999999999996</v>
      </c>
      <c r="I341" t="b">
        <v>1</v>
      </c>
      <c r="J341">
        <v>63</v>
      </c>
      <c r="K341" t="s">
        <v>21</v>
      </c>
      <c r="L341" t="str" cm="1">
        <f t="array" ref="L341">_xlfn.IFS(
J341&lt;=15,"Active",
J341&lt;=30,"Warm",
J341&gt;30,"Inactive"
)</f>
        <v>Inactive</v>
      </c>
      <c r="M341" t="str">
        <f t="shared" si="5"/>
        <v>Medium Value</v>
      </c>
      <c r="N341" t="str" cm="1">
        <f t="array" ref="N341">_xlfn.IFS(
C341&lt;=28,"25-28",
C341&lt;=32,"29-32",
C341&lt;=36,"33-36",
C341&lt;=40,"37-40",
C341&lt;=45,"41-45"
)</f>
        <v>25-28</v>
      </c>
    </row>
    <row r="342" spans="1:14" x14ac:dyDescent="0.3">
      <c r="A342">
        <v>441</v>
      </c>
      <c r="B342" t="s">
        <v>11</v>
      </c>
      <c r="C342">
        <v>37</v>
      </c>
      <c r="D342" t="s">
        <v>24</v>
      </c>
      <c r="E342" t="s">
        <v>20</v>
      </c>
      <c r="F342">
        <v>450.8</v>
      </c>
      <c r="G342">
        <v>7</v>
      </c>
      <c r="H342">
        <v>3.4</v>
      </c>
      <c r="I342" t="b">
        <v>0</v>
      </c>
      <c r="J342">
        <v>32</v>
      </c>
      <c r="K342" t="s">
        <v>18</v>
      </c>
      <c r="L342" t="str" cm="1">
        <f t="array" ref="L342">_xlfn.IFS(
J342&lt;=15,"Active",
J342&lt;=30,"Warm",
J342&gt;30,"Inactive"
)</f>
        <v>Inactive</v>
      </c>
      <c r="M342" t="str">
        <f t="shared" si="5"/>
        <v>Low Value</v>
      </c>
      <c r="N342" t="str" cm="1">
        <f t="array" ref="N342">_xlfn.IFS(
C342&lt;=28,"25-28",
C342&lt;=32,"29-32",
C342&lt;=36,"33-36",
C342&lt;=40,"37-40",
C342&lt;=45,"41-45"
)</f>
        <v>37-40</v>
      </c>
    </row>
    <row r="343" spans="1:14" x14ac:dyDescent="0.3">
      <c r="A343">
        <v>442</v>
      </c>
      <c r="B343" t="s">
        <v>11</v>
      </c>
      <c r="C343">
        <v>31</v>
      </c>
      <c r="D343" t="s">
        <v>12</v>
      </c>
      <c r="E343" t="s">
        <v>13</v>
      </c>
      <c r="F343">
        <v>1140.5999999999999</v>
      </c>
      <c r="G343">
        <v>15</v>
      </c>
      <c r="H343">
        <v>4.5</v>
      </c>
      <c r="I343" t="b">
        <v>1</v>
      </c>
      <c r="J343">
        <v>36</v>
      </c>
      <c r="K343" t="s">
        <v>14</v>
      </c>
      <c r="L343" t="str" cm="1">
        <f t="array" ref="L343">_xlfn.IFS(
J343&lt;=15,"Active",
J343&lt;=30,"Warm",
J343&gt;30,"Inactive"
)</f>
        <v>Inactive</v>
      </c>
      <c r="M343" t="str">
        <f t="shared" si="5"/>
        <v>High Value</v>
      </c>
      <c r="N343" t="str" cm="1">
        <f t="array" ref="N343">_xlfn.IFS(
C343&lt;=28,"25-28",
C343&lt;=32,"29-32",
C343&lt;=36,"33-36",
C343&lt;=40,"37-40",
C343&lt;=45,"41-45"
)</f>
        <v>29-32</v>
      </c>
    </row>
    <row r="344" spans="1:14" x14ac:dyDescent="0.3">
      <c r="A344">
        <v>443</v>
      </c>
      <c r="B344" t="s">
        <v>15</v>
      </c>
      <c r="C344">
        <v>35</v>
      </c>
      <c r="D344" t="s">
        <v>16</v>
      </c>
      <c r="E344" t="s">
        <v>17</v>
      </c>
      <c r="F344">
        <v>800.9</v>
      </c>
      <c r="G344">
        <v>12</v>
      </c>
      <c r="H344">
        <v>4.0999999999999996</v>
      </c>
      <c r="I344" t="b">
        <v>0</v>
      </c>
      <c r="J344">
        <v>20</v>
      </c>
      <c r="K344" t="s">
        <v>18</v>
      </c>
      <c r="L344" t="str" cm="1">
        <f t="array" ref="L344">_xlfn.IFS(
J344&lt;=15,"Active",
J344&lt;=30,"Warm",
J344&gt;30,"Inactive"
)</f>
        <v>Warm</v>
      </c>
      <c r="M344" t="str">
        <f t="shared" si="5"/>
        <v>Medium Value</v>
      </c>
      <c r="N344" t="str" cm="1">
        <f t="array" ref="N344">_xlfn.IFS(
C344&lt;=28,"25-28",
C344&lt;=32,"29-32",
C344&lt;=36,"33-36",
C344&lt;=40,"37-40",
C344&lt;=45,"41-45"
)</f>
        <v>33-36</v>
      </c>
    </row>
    <row r="345" spans="1:14" x14ac:dyDescent="0.3">
      <c r="A345">
        <v>444</v>
      </c>
      <c r="B345" t="s">
        <v>11</v>
      </c>
      <c r="C345">
        <v>41</v>
      </c>
      <c r="D345" t="s">
        <v>19</v>
      </c>
      <c r="E345" t="s">
        <v>20</v>
      </c>
      <c r="F345">
        <v>475.25</v>
      </c>
      <c r="G345">
        <v>9</v>
      </c>
      <c r="H345">
        <v>3.6</v>
      </c>
      <c r="I345" t="b">
        <v>1</v>
      </c>
      <c r="J345">
        <v>48</v>
      </c>
      <c r="K345" t="s">
        <v>21</v>
      </c>
      <c r="L345" t="str" cm="1">
        <f t="array" ref="L345">_xlfn.IFS(
J345&lt;=15,"Active",
J345&lt;=30,"Warm",
J345&gt;30,"Inactive"
)</f>
        <v>Inactive</v>
      </c>
      <c r="M345" t="str">
        <f t="shared" si="5"/>
        <v>Low Value</v>
      </c>
      <c r="N345" t="str" cm="1">
        <f t="array" ref="N345">_xlfn.IFS(
C345&lt;=28,"25-28",
C345&lt;=32,"29-32",
C345&lt;=36,"33-36",
C345&lt;=40,"37-40",
C345&lt;=45,"41-45"
)</f>
        <v>41-45</v>
      </c>
    </row>
    <row r="346" spans="1:14" x14ac:dyDescent="0.3">
      <c r="A346">
        <v>445</v>
      </c>
      <c r="B346" t="s">
        <v>15</v>
      </c>
      <c r="C346">
        <v>28</v>
      </c>
      <c r="D346" t="s">
        <v>22</v>
      </c>
      <c r="E346" t="s">
        <v>13</v>
      </c>
      <c r="F346">
        <v>1480.1</v>
      </c>
      <c r="G346">
        <v>21</v>
      </c>
      <c r="H346">
        <v>4.9000000000000004</v>
      </c>
      <c r="I346" t="b">
        <v>0</v>
      </c>
      <c r="J346">
        <v>13</v>
      </c>
      <c r="K346" t="s">
        <v>14</v>
      </c>
      <c r="L346" t="str" cm="1">
        <f t="array" ref="L346">_xlfn.IFS(
J346&lt;=15,"Active",
J346&lt;=30,"Warm",
J346&gt;30,"Inactive"
)</f>
        <v>Active</v>
      </c>
      <c r="M346" t="str">
        <f t="shared" si="5"/>
        <v>High Value</v>
      </c>
      <c r="N346" t="str" cm="1">
        <f t="array" ref="N346">_xlfn.IFS(
C346&lt;=28,"25-28",
C346&lt;=32,"29-32",
C346&lt;=36,"33-36",
C346&lt;=40,"37-40",
C346&lt;=45,"41-45"
)</f>
        <v>25-28</v>
      </c>
    </row>
    <row r="347" spans="1:14" x14ac:dyDescent="0.3">
      <c r="A347">
        <v>446</v>
      </c>
      <c r="B347" t="s">
        <v>15</v>
      </c>
      <c r="C347">
        <v>32</v>
      </c>
      <c r="D347" t="s">
        <v>23</v>
      </c>
      <c r="E347" t="s">
        <v>17</v>
      </c>
      <c r="F347">
        <v>660.3</v>
      </c>
      <c r="G347">
        <v>10</v>
      </c>
      <c r="H347">
        <v>3.8</v>
      </c>
      <c r="I347" t="b">
        <v>1</v>
      </c>
      <c r="J347">
        <v>42</v>
      </c>
      <c r="K347" t="s">
        <v>21</v>
      </c>
      <c r="L347" t="str" cm="1">
        <f t="array" ref="L347">_xlfn.IFS(
J347&lt;=15,"Active",
J347&lt;=30,"Warm",
J347&gt;30,"Inactive"
)</f>
        <v>Inactive</v>
      </c>
      <c r="M347" t="str">
        <f t="shared" si="5"/>
        <v>Medium Value</v>
      </c>
      <c r="N347" t="str" cm="1">
        <f t="array" ref="N347">_xlfn.IFS(
C347&lt;=28,"25-28",
C347&lt;=32,"29-32",
C347&lt;=36,"33-36",
C347&lt;=40,"37-40",
C347&lt;=45,"41-45"
)</f>
        <v>29-32</v>
      </c>
    </row>
    <row r="348" spans="1:14" x14ac:dyDescent="0.3">
      <c r="A348">
        <v>447</v>
      </c>
      <c r="B348" t="s">
        <v>11</v>
      </c>
      <c r="C348">
        <v>36</v>
      </c>
      <c r="D348" t="s">
        <v>24</v>
      </c>
      <c r="E348" t="s">
        <v>20</v>
      </c>
      <c r="F348">
        <v>470.5</v>
      </c>
      <c r="G348">
        <v>8</v>
      </c>
      <c r="H348">
        <v>3</v>
      </c>
      <c r="I348" t="b">
        <v>0</v>
      </c>
      <c r="J348">
        <v>27</v>
      </c>
      <c r="K348" t="s">
        <v>18</v>
      </c>
      <c r="L348" t="str" cm="1">
        <f t="array" ref="L348">_xlfn.IFS(
J348&lt;=15,"Active",
J348&lt;=30,"Warm",
J348&gt;30,"Inactive"
)</f>
        <v>Warm</v>
      </c>
      <c r="M348" t="str">
        <f t="shared" si="5"/>
        <v>Low Value</v>
      </c>
      <c r="N348" t="str" cm="1">
        <f t="array" ref="N348">_xlfn.IFS(
C348&lt;=28,"25-28",
C348&lt;=32,"29-32",
C348&lt;=36,"33-36",
C348&lt;=40,"37-40",
C348&lt;=45,"41-45"
)</f>
        <v>33-36</v>
      </c>
    </row>
    <row r="349" spans="1:14" x14ac:dyDescent="0.3">
      <c r="A349">
        <v>448</v>
      </c>
      <c r="B349" t="s">
        <v>11</v>
      </c>
      <c r="C349">
        <v>30</v>
      </c>
      <c r="D349" t="s">
        <v>12</v>
      </c>
      <c r="E349" t="s">
        <v>13</v>
      </c>
      <c r="F349">
        <v>1190.8</v>
      </c>
      <c r="G349">
        <v>16</v>
      </c>
      <c r="H349">
        <v>4.5</v>
      </c>
      <c r="I349" t="b">
        <v>1</v>
      </c>
      <c r="J349">
        <v>28</v>
      </c>
      <c r="K349" t="s">
        <v>14</v>
      </c>
      <c r="L349" t="str" cm="1">
        <f t="array" ref="L349">_xlfn.IFS(
J349&lt;=15,"Active",
J349&lt;=30,"Warm",
J349&gt;30,"Inactive"
)</f>
        <v>Warm</v>
      </c>
      <c r="M349" t="str">
        <f t="shared" si="5"/>
        <v>High Value</v>
      </c>
      <c r="N349" t="str" cm="1">
        <f t="array" ref="N349">_xlfn.IFS(
C349&lt;=28,"25-28",
C349&lt;=32,"29-32",
C349&lt;=36,"33-36",
C349&lt;=40,"37-40",
C349&lt;=45,"41-45"
)</f>
        <v>29-32</v>
      </c>
    </row>
    <row r="350" spans="1:14" x14ac:dyDescent="0.3">
      <c r="A350">
        <v>449</v>
      </c>
      <c r="B350" t="s">
        <v>15</v>
      </c>
      <c r="C350">
        <v>34</v>
      </c>
      <c r="D350" t="s">
        <v>16</v>
      </c>
      <c r="E350" t="s">
        <v>17</v>
      </c>
      <c r="F350">
        <v>780.2</v>
      </c>
      <c r="G350">
        <v>11</v>
      </c>
      <c r="H350">
        <v>4.2</v>
      </c>
      <c r="I350" t="b">
        <v>0</v>
      </c>
      <c r="J350">
        <v>21</v>
      </c>
      <c r="K350" t="s">
        <v>18</v>
      </c>
      <c r="L350" t="str" cm="1">
        <f t="array" ref="L350">_xlfn.IFS(
J350&lt;=15,"Active",
J350&lt;=30,"Warm",
J350&gt;30,"Inactive"
)</f>
        <v>Warm</v>
      </c>
      <c r="M350" t="str">
        <f t="shared" si="5"/>
        <v>Medium Value</v>
      </c>
      <c r="N350" t="str" cm="1">
        <f t="array" ref="N350">_xlfn.IFS(
C350&lt;=28,"25-28",
C350&lt;=32,"29-32",
C350&lt;=36,"33-36",
C350&lt;=40,"37-40",
C350&lt;=45,"41-45"
)</f>
        <v>33-36</v>
      </c>
    </row>
    <row r="351" spans="1:14" x14ac:dyDescent="0.3">
      <c r="A351">
        <v>450</v>
      </c>
      <c r="B351" t="s">
        <v>11</v>
      </c>
      <c r="C351">
        <v>43</v>
      </c>
      <c r="D351" t="s">
        <v>19</v>
      </c>
      <c r="E351" t="s">
        <v>20</v>
      </c>
      <c r="F351">
        <v>515.75</v>
      </c>
      <c r="G351">
        <v>10</v>
      </c>
      <c r="H351">
        <v>3.3</v>
      </c>
      <c r="I351" t="b">
        <v>1</v>
      </c>
      <c r="J351">
        <v>49</v>
      </c>
      <c r="K351" t="s">
        <v>21</v>
      </c>
      <c r="L351" t="str" cm="1">
        <f t="array" ref="L351">_xlfn.IFS(
J351&lt;=15,"Active",
J351&lt;=30,"Warm",
J351&gt;30,"Inactive"
)</f>
        <v>Inactive</v>
      </c>
      <c r="M351" t="str">
        <f t="shared" si="5"/>
        <v>Medium Value</v>
      </c>
      <c r="N351" t="str" cm="1">
        <f t="array" ref="N351">_xlfn.IFS(
C351&lt;=28,"25-28",
C351&lt;=32,"29-32",
C351&lt;=36,"33-36",
C351&lt;=40,"37-40",
C351&lt;=45,"41-45"
)</f>
        <v>41-45</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E-commerce Customer Behavior -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suraj ringne</cp:lastModifiedBy>
  <dcterms:created xsi:type="dcterms:W3CDTF">2026-03-27T10:20:14Z</dcterms:created>
  <dcterms:modified xsi:type="dcterms:W3CDTF">2026-04-15T19:29:00Z</dcterms:modified>
</cp:coreProperties>
</file>